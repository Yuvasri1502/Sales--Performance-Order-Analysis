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thiya\Downloads\"/>
    </mc:Choice>
  </mc:AlternateContent>
  <xr:revisionPtr revIDLastSave="0" documentId="8_{2D22B148-AEC3-48C5-B522-B3683C852054}" xr6:coauthVersionLast="47" xr6:coauthVersionMax="47" xr10:uidLastSave="{00000000-0000-0000-0000-000000000000}"/>
  <bookViews>
    <workbookView xWindow="-108" yWindow="-108" windowWidth="23256" windowHeight="12456" activeTab="1" xr2:uid="{8865A949-4F87-44D8-B484-D1702F972791}"/>
  </bookViews>
  <sheets>
    <sheet name="Chart" sheetId="9" r:id="rId1"/>
    <sheet name="Dashboard" sheetId="10" r:id="rId2"/>
    <sheet name="Sales_Order" sheetId="6" r:id="rId3"/>
  </sheets>
  <definedNames>
    <definedName name="_xlcn.WorksheetConnection_SalesOrderPerformance.xlsxSales_Order1" hidden="1">Sales_Order[]</definedName>
    <definedName name="ExternalData_3" localSheetId="2" hidden="1">Sales_Order!$A$1:$T$1262</definedName>
    <definedName name="Slicer_Country">#N/A</definedName>
    <definedName name="Slicer_Orderdate">#N/A</definedName>
    <definedName name="Slicer_Product_line">#N/A</definedName>
    <definedName name="Slicer_Qtr_Id">#N/A</definedName>
    <definedName name="Slicer_Status">#N/A</definedName>
    <definedName name="Slicer_Year_Id">#N/A</definedName>
  </definedNames>
  <calcPr calcId="191029"/>
  <pivotCaches>
    <pivotCache cacheId="521" r:id="rId4"/>
    <pivotCache cacheId="524" r:id="rId5"/>
    <pivotCache cacheId="527" r:id="rId6"/>
    <pivotCache cacheId="530" r:id="rId7"/>
    <pivotCache cacheId="533" r:id="rId8"/>
    <pivotCache cacheId="536" r:id="rId9"/>
    <pivotCache cacheId="539" r:id="rId10"/>
    <pivotCache cacheId="542"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Order" name="Sales_Order" connection="WorksheetConnection_Sales Order Performance.xlsx!Sales_Order"/>
        </x15:modelTables>
        <x15:extLst>
          <ext xmlns:x16="http://schemas.microsoft.com/office/spreadsheetml/2014/11/main" uri="{9835A34E-60A6-4A7C-AAB8-D5F71C897F49}">
            <x16:modelTimeGroupings>
              <x16:modelTimeGrouping tableName="Sales_Order"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9" l="1"/>
  <c r="H10" i="9"/>
  <c r="G10" i="9"/>
  <c r="F10" i="9"/>
  <c r="E10" i="9"/>
  <c r="D10" i="9"/>
  <c r="I6" i="9"/>
  <c r="H6" i="9"/>
  <c r="E6" i="9"/>
  <c r="G6" i="9"/>
  <c r="F6" i="9"/>
  <c r="U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305" i="6"/>
  <c r="U306" i="6"/>
  <c r="U307" i="6"/>
  <c r="U308" i="6"/>
  <c r="U309" i="6"/>
  <c r="U310" i="6"/>
  <c r="U311" i="6"/>
  <c r="U312" i="6"/>
  <c r="U313" i="6"/>
  <c r="U314" i="6"/>
  <c r="U315" i="6"/>
  <c r="U316" i="6"/>
  <c r="U317" i="6"/>
  <c r="U318" i="6"/>
  <c r="U319" i="6"/>
  <c r="U320" i="6"/>
  <c r="U321" i="6"/>
  <c r="U322" i="6"/>
  <c r="U323" i="6"/>
  <c r="U324" i="6"/>
  <c r="U325" i="6"/>
  <c r="U326" i="6"/>
  <c r="U327" i="6"/>
  <c r="U328" i="6"/>
  <c r="U329" i="6"/>
  <c r="U330" i="6"/>
  <c r="U331" i="6"/>
  <c r="U332" i="6"/>
  <c r="U333" i="6"/>
  <c r="U334" i="6"/>
  <c r="U335" i="6"/>
  <c r="U336" i="6"/>
  <c r="U337" i="6"/>
  <c r="U338" i="6"/>
  <c r="U339" i="6"/>
  <c r="U340" i="6"/>
  <c r="U341" i="6"/>
  <c r="U342" i="6"/>
  <c r="U343" i="6"/>
  <c r="U344" i="6"/>
  <c r="U345" i="6"/>
  <c r="U346" i="6"/>
  <c r="U347" i="6"/>
  <c r="U348" i="6"/>
  <c r="U349" i="6"/>
  <c r="U350" i="6"/>
  <c r="U351" i="6"/>
  <c r="U352" i="6"/>
  <c r="U353" i="6"/>
  <c r="U354" i="6"/>
  <c r="U355" i="6"/>
  <c r="U356" i="6"/>
  <c r="U357" i="6"/>
  <c r="U358" i="6"/>
  <c r="U359" i="6"/>
  <c r="U360" i="6"/>
  <c r="U361" i="6"/>
  <c r="U362" i="6"/>
  <c r="U363" i="6"/>
  <c r="U364" i="6"/>
  <c r="U365" i="6"/>
  <c r="U366" i="6"/>
  <c r="U367" i="6"/>
  <c r="U368" i="6"/>
  <c r="U369" i="6"/>
  <c r="U370" i="6"/>
  <c r="U371" i="6"/>
  <c r="U372" i="6"/>
  <c r="U373" i="6"/>
  <c r="U374" i="6"/>
  <c r="U375" i="6"/>
  <c r="U376" i="6"/>
  <c r="U377" i="6"/>
  <c r="U378" i="6"/>
  <c r="U379" i="6"/>
  <c r="U380" i="6"/>
  <c r="U381" i="6"/>
  <c r="U382" i="6"/>
  <c r="U383" i="6"/>
  <c r="U384" i="6"/>
  <c r="U385" i="6"/>
  <c r="U386" i="6"/>
  <c r="U387" i="6"/>
  <c r="U388" i="6"/>
  <c r="U389" i="6"/>
  <c r="U390" i="6"/>
  <c r="U391" i="6"/>
  <c r="U392" i="6"/>
  <c r="U393" i="6"/>
  <c r="U394" i="6"/>
  <c r="U395" i="6"/>
  <c r="U396" i="6"/>
  <c r="U397" i="6"/>
  <c r="U398" i="6"/>
  <c r="U399" i="6"/>
  <c r="U400" i="6"/>
  <c r="U401" i="6"/>
  <c r="U402" i="6"/>
  <c r="U403" i="6"/>
  <c r="U404" i="6"/>
  <c r="U405" i="6"/>
  <c r="U406" i="6"/>
  <c r="U407" i="6"/>
  <c r="U408" i="6"/>
  <c r="U409" i="6"/>
  <c r="U410" i="6"/>
  <c r="U411" i="6"/>
  <c r="U412" i="6"/>
  <c r="U413" i="6"/>
  <c r="U414" i="6"/>
  <c r="U415" i="6"/>
  <c r="U416" i="6"/>
  <c r="U417" i="6"/>
  <c r="U418" i="6"/>
  <c r="U419" i="6"/>
  <c r="U420" i="6"/>
  <c r="U421" i="6"/>
  <c r="U422" i="6"/>
  <c r="U423" i="6"/>
  <c r="U424" i="6"/>
  <c r="U425" i="6"/>
  <c r="U426" i="6"/>
  <c r="U427" i="6"/>
  <c r="U428" i="6"/>
  <c r="U429" i="6"/>
  <c r="U430" i="6"/>
  <c r="U431" i="6"/>
  <c r="U432" i="6"/>
  <c r="U433" i="6"/>
  <c r="U434" i="6"/>
  <c r="U435" i="6"/>
  <c r="U436" i="6"/>
  <c r="U437" i="6"/>
  <c r="U438" i="6"/>
  <c r="U439" i="6"/>
  <c r="U440" i="6"/>
  <c r="U441" i="6"/>
  <c r="U442" i="6"/>
  <c r="U443" i="6"/>
  <c r="U444" i="6"/>
  <c r="U445" i="6"/>
  <c r="U446" i="6"/>
  <c r="U447" i="6"/>
  <c r="U448" i="6"/>
  <c r="U449" i="6"/>
  <c r="U450" i="6"/>
  <c r="U451" i="6"/>
  <c r="U452" i="6"/>
  <c r="U453" i="6"/>
  <c r="U454" i="6"/>
  <c r="U455" i="6"/>
  <c r="U456" i="6"/>
  <c r="U457" i="6"/>
  <c r="U458" i="6"/>
  <c r="U459" i="6"/>
  <c r="U460" i="6"/>
  <c r="U461" i="6"/>
  <c r="U462" i="6"/>
  <c r="U463" i="6"/>
  <c r="U464" i="6"/>
  <c r="U465" i="6"/>
  <c r="U466" i="6"/>
  <c r="U467" i="6"/>
  <c r="U468" i="6"/>
  <c r="U469" i="6"/>
  <c r="U470" i="6"/>
  <c r="U471" i="6"/>
  <c r="U472" i="6"/>
  <c r="U473" i="6"/>
  <c r="U474" i="6"/>
  <c r="U475" i="6"/>
  <c r="U476" i="6"/>
  <c r="U477" i="6"/>
  <c r="U478" i="6"/>
  <c r="U479" i="6"/>
  <c r="U480" i="6"/>
  <c r="U481" i="6"/>
  <c r="U482" i="6"/>
  <c r="U483" i="6"/>
  <c r="U484" i="6"/>
  <c r="U485" i="6"/>
  <c r="U486" i="6"/>
  <c r="U487" i="6"/>
  <c r="U488" i="6"/>
  <c r="U489" i="6"/>
  <c r="U490" i="6"/>
  <c r="U491" i="6"/>
  <c r="U492" i="6"/>
  <c r="U493" i="6"/>
  <c r="U494" i="6"/>
  <c r="U495" i="6"/>
  <c r="U496" i="6"/>
  <c r="U497" i="6"/>
  <c r="U498" i="6"/>
  <c r="U499" i="6"/>
  <c r="U500" i="6"/>
  <c r="U501" i="6"/>
  <c r="U502" i="6"/>
  <c r="U503" i="6"/>
  <c r="U504" i="6"/>
  <c r="U505" i="6"/>
  <c r="U506" i="6"/>
  <c r="U507" i="6"/>
  <c r="U508" i="6"/>
  <c r="U509" i="6"/>
  <c r="U510" i="6"/>
  <c r="U511" i="6"/>
  <c r="U512" i="6"/>
  <c r="U513" i="6"/>
  <c r="U514" i="6"/>
  <c r="U515" i="6"/>
  <c r="U516" i="6"/>
  <c r="U517" i="6"/>
  <c r="U518" i="6"/>
  <c r="U519" i="6"/>
  <c r="U520" i="6"/>
  <c r="U521" i="6"/>
  <c r="U522" i="6"/>
  <c r="U523" i="6"/>
  <c r="U524" i="6"/>
  <c r="U525" i="6"/>
  <c r="U526" i="6"/>
  <c r="U527" i="6"/>
  <c r="U528" i="6"/>
  <c r="U529" i="6"/>
  <c r="U530" i="6"/>
  <c r="U531" i="6"/>
  <c r="U532" i="6"/>
  <c r="U533" i="6"/>
  <c r="U534" i="6"/>
  <c r="U535" i="6"/>
  <c r="U536" i="6"/>
  <c r="U537" i="6"/>
  <c r="U538" i="6"/>
  <c r="U539" i="6"/>
  <c r="U540" i="6"/>
  <c r="U541" i="6"/>
  <c r="U542" i="6"/>
  <c r="U543" i="6"/>
  <c r="U544" i="6"/>
  <c r="U545" i="6"/>
  <c r="U546" i="6"/>
  <c r="U547" i="6"/>
  <c r="U548" i="6"/>
  <c r="U549" i="6"/>
  <c r="U550" i="6"/>
  <c r="U551" i="6"/>
  <c r="U552" i="6"/>
  <c r="U553" i="6"/>
  <c r="U554" i="6"/>
  <c r="U555" i="6"/>
  <c r="U556" i="6"/>
  <c r="U557" i="6"/>
  <c r="U558" i="6"/>
  <c r="U559" i="6"/>
  <c r="U560" i="6"/>
  <c r="U561" i="6"/>
  <c r="U562" i="6"/>
  <c r="U563" i="6"/>
  <c r="U564" i="6"/>
  <c r="U565" i="6"/>
  <c r="U566" i="6"/>
  <c r="U567" i="6"/>
  <c r="U568" i="6"/>
  <c r="U569" i="6"/>
  <c r="U570" i="6"/>
  <c r="U571" i="6"/>
  <c r="U572" i="6"/>
  <c r="U573" i="6"/>
  <c r="U574" i="6"/>
  <c r="U575" i="6"/>
  <c r="U576" i="6"/>
  <c r="U577" i="6"/>
  <c r="U578" i="6"/>
  <c r="U579" i="6"/>
  <c r="U580" i="6"/>
  <c r="U581" i="6"/>
  <c r="U582" i="6"/>
  <c r="U583" i="6"/>
  <c r="U584" i="6"/>
  <c r="U585" i="6"/>
  <c r="U586" i="6"/>
  <c r="U587" i="6"/>
  <c r="U588" i="6"/>
  <c r="U589" i="6"/>
  <c r="U590" i="6"/>
  <c r="U591" i="6"/>
  <c r="U592" i="6"/>
  <c r="U593" i="6"/>
  <c r="U594" i="6"/>
  <c r="U595" i="6"/>
  <c r="U596" i="6"/>
  <c r="U597" i="6"/>
  <c r="U598" i="6"/>
  <c r="U599" i="6"/>
  <c r="U600" i="6"/>
  <c r="U601" i="6"/>
  <c r="U602" i="6"/>
  <c r="U603" i="6"/>
  <c r="U604" i="6"/>
  <c r="U605" i="6"/>
  <c r="U606" i="6"/>
  <c r="U607" i="6"/>
  <c r="U608" i="6"/>
  <c r="U609" i="6"/>
  <c r="U610" i="6"/>
  <c r="U611" i="6"/>
  <c r="U612" i="6"/>
  <c r="U613" i="6"/>
  <c r="U614" i="6"/>
  <c r="U615" i="6"/>
  <c r="U616" i="6"/>
  <c r="U617" i="6"/>
  <c r="U618" i="6"/>
  <c r="U619" i="6"/>
  <c r="U620" i="6"/>
  <c r="U621" i="6"/>
  <c r="U622" i="6"/>
  <c r="U623" i="6"/>
  <c r="U624" i="6"/>
  <c r="U625" i="6"/>
  <c r="U626" i="6"/>
  <c r="U627" i="6"/>
  <c r="U628" i="6"/>
  <c r="U629" i="6"/>
  <c r="U630" i="6"/>
  <c r="U631" i="6"/>
  <c r="U632" i="6"/>
  <c r="U633" i="6"/>
  <c r="U634" i="6"/>
  <c r="U635" i="6"/>
  <c r="U636" i="6"/>
  <c r="U637" i="6"/>
  <c r="U638" i="6"/>
  <c r="U639" i="6"/>
  <c r="U640" i="6"/>
  <c r="U641" i="6"/>
  <c r="U642" i="6"/>
  <c r="U643" i="6"/>
  <c r="U644" i="6"/>
  <c r="U645" i="6"/>
  <c r="U646" i="6"/>
  <c r="U647" i="6"/>
  <c r="U648" i="6"/>
  <c r="U649" i="6"/>
  <c r="U650" i="6"/>
  <c r="U651" i="6"/>
  <c r="U652" i="6"/>
  <c r="U653" i="6"/>
  <c r="U654" i="6"/>
  <c r="U655" i="6"/>
  <c r="U656" i="6"/>
  <c r="U657" i="6"/>
  <c r="U658" i="6"/>
  <c r="U659" i="6"/>
  <c r="U660" i="6"/>
  <c r="U661" i="6"/>
  <c r="U662" i="6"/>
  <c r="U663" i="6"/>
  <c r="U664" i="6"/>
  <c r="U665" i="6"/>
  <c r="U666" i="6"/>
  <c r="U667" i="6"/>
  <c r="U668" i="6"/>
  <c r="U669" i="6"/>
  <c r="U670" i="6"/>
  <c r="U671" i="6"/>
  <c r="U672" i="6"/>
  <c r="U673" i="6"/>
  <c r="U674" i="6"/>
  <c r="U675" i="6"/>
  <c r="U676" i="6"/>
  <c r="U677" i="6"/>
  <c r="U678" i="6"/>
  <c r="U679" i="6"/>
  <c r="U680" i="6"/>
  <c r="U681" i="6"/>
  <c r="U682" i="6"/>
  <c r="U683" i="6"/>
  <c r="U684" i="6"/>
  <c r="U685" i="6"/>
  <c r="U686" i="6"/>
  <c r="U687" i="6"/>
  <c r="U688" i="6"/>
  <c r="U689" i="6"/>
  <c r="U690" i="6"/>
  <c r="U691" i="6"/>
  <c r="U692" i="6"/>
  <c r="U693" i="6"/>
  <c r="U694" i="6"/>
  <c r="U695" i="6"/>
  <c r="U696" i="6"/>
  <c r="U697" i="6"/>
  <c r="U698" i="6"/>
  <c r="U699" i="6"/>
  <c r="U700" i="6"/>
  <c r="U701" i="6"/>
  <c r="U702" i="6"/>
  <c r="U703" i="6"/>
  <c r="U704" i="6"/>
  <c r="U705" i="6"/>
  <c r="U706" i="6"/>
  <c r="U707" i="6"/>
  <c r="U708" i="6"/>
  <c r="U709" i="6"/>
  <c r="U710" i="6"/>
  <c r="U711" i="6"/>
  <c r="U712" i="6"/>
  <c r="U713" i="6"/>
  <c r="U714" i="6"/>
  <c r="U715" i="6"/>
  <c r="U716" i="6"/>
  <c r="U717" i="6"/>
  <c r="U718" i="6"/>
  <c r="U719" i="6"/>
  <c r="U720" i="6"/>
  <c r="U721" i="6"/>
  <c r="U722" i="6"/>
  <c r="U723" i="6"/>
  <c r="U724" i="6"/>
  <c r="U725" i="6"/>
  <c r="U726" i="6"/>
  <c r="U727" i="6"/>
  <c r="U728" i="6"/>
  <c r="U729" i="6"/>
  <c r="U730" i="6"/>
  <c r="U731" i="6"/>
  <c r="U732" i="6"/>
  <c r="U733" i="6"/>
  <c r="U734" i="6"/>
  <c r="U735" i="6"/>
  <c r="U736" i="6"/>
  <c r="U737" i="6"/>
  <c r="U738" i="6"/>
  <c r="U739" i="6"/>
  <c r="U740" i="6"/>
  <c r="U741" i="6"/>
  <c r="U742" i="6"/>
  <c r="U743" i="6"/>
  <c r="U744" i="6"/>
  <c r="U745" i="6"/>
  <c r="U746" i="6"/>
  <c r="U747" i="6"/>
  <c r="U748" i="6"/>
  <c r="U749" i="6"/>
  <c r="U750" i="6"/>
  <c r="U751" i="6"/>
  <c r="U752" i="6"/>
  <c r="U753" i="6"/>
  <c r="U754" i="6"/>
  <c r="U755" i="6"/>
  <c r="U756" i="6"/>
  <c r="U757" i="6"/>
  <c r="U758" i="6"/>
  <c r="U759" i="6"/>
  <c r="U760" i="6"/>
  <c r="U761" i="6"/>
  <c r="U762" i="6"/>
  <c r="U763" i="6"/>
  <c r="U764" i="6"/>
  <c r="U765" i="6"/>
  <c r="U766" i="6"/>
  <c r="U767" i="6"/>
  <c r="U768" i="6"/>
  <c r="U769" i="6"/>
  <c r="U770" i="6"/>
  <c r="U771" i="6"/>
  <c r="U772" i="6"/>
  <c r="U773" i="6"/>
  <c r="U774" i="6"/>
  <c r="U775" i="6"/>
  <c r="U776" i="6"/>
  <c r="U777" i="6"/>
  <c r="U778" i="6"/>
  <c r="U779" i="6"/>
  <c r="U780" i="6"/>
  <c r="U781" i="6"/>
  <c r="U782" i="6"/>
  <c r="U783" i="6"/>
  <c r="U784" i="6"/>
  <c r="U785" i="6"/>
  <c r="U786" i="6"/>
  <c r="U787" i="6"/>
  <c r="U788" i="6"/>
  <c r="U789" i="6"/>
  <c r="U790" i="6"/>
  <c r="U791" i="6"/>
  <c r="U792" i="6"/>
  <c r="U793" i="6"/>
  <c r="U794" i="6"/>
  <c r="U795" i="6"/>
  <c r="U796" i="6"/>
  <c r="U797" i="6"/>
  <c r="U798" i="6"/>
  <c r="U799" i="6"/>
  <c r="U800" i="6"/>
  <c r="U801" i="6"/>
  <c r="U802" i="6"/>
  <c r="U803" i="6"/>
  <c r="U804" i="6"/>
  <c r="U805" i="6"/>
  <c r="U806" i="6"/>
  <c r="U807" i="6"/>
  <c r="U808" i="6"/>
  <c r="U809" i="6"/>
  <c r="U810" i="6"/>
  <c r="U811" i="6"/>
  <c r="U812" i="6"/>
  <c r="U813" i="6"/>
  <c r="U814" i="6"/>
  <c r="U815" i="6"/>
  <c r="U816" i="6"/>
  <c r="U817" i="6"/>
  <c r="U818" i="6"/>
  <c r="U819" i="6"/>
  <c r="U820" i="6"/>
  <c r="U821" i="6"/>
  <c r="U822" i="6"/>
  <c r="U823" i="6"/>
  <c r="U824" i="6"/>
  <c r="U825" i="6"/>
  <c r="U826" i="6"/>
  <c r="U827" i="6"/>
  <c r="U828" i="6"/>
  <c r="U829" i="6"/>
  <c r="U830" i="6"/>
  <c r="U831" i="6"/>
  <c r="U832" i="6"/>
  <c r="U833" i="6"/>
  <c r="U834" i="6"/>
  <c r="U835" i="6"/>
  <c r="U836" i="6"/>
  <c r="U837" i="6"/>
  <c r="U838" i="6"/>
  <c r="U839" i="6"/>
  <c r="U840" i="6"/>
  <c r="U841" i="6"/>
  <c r="U842" i="6"/>
  <c r="U843" i="6"/>
  <c r="U844" i="6"/>
  <c r="U845" i="6"/>
  <c r="U846" i="6"/>
  <c r="U847" i="6"/>
  <c r="U848" i="6"/>
  <c r="U849" i="6"/>
  <c r="U850" i="6"/>
  <c r="U851" i="6"/>
  <c r="U852" i="6"/>
  <c r="U853" i="6"/>
  <c r="U854" i="6"/>
  <c r="U855" i="6"/>
  <c r="U856" i="6"/>
  <c r="U857" i="6"/>
  <c r="U858" i="6"/>
  <c r="U859" i="6"/>
  <c r="U860" i="6"/>
  <c r="U861" i="6"/>
  <c r="U862" i="6"/>
  <c r="U863" i="6"/>
  <c r="U864" i="6"/>
  <c r="U865" i="6"/>
  <c r="U866" i="6"/>
  <c r="U867" i="6"/>
  <c r="U868" i="6"/>
  <c r="U869" i="6"/>
  <c r="U870" i="6"/>
  <c r="U871" i="6"/>
  <c r="U872" i="6"/>
  <c r="U873" i="6"/>
  <c r="U874" i="6"/>
  <c r="U875" i="6"/>
  <c r="U876" i="6"/>
  <c r="U877" i="6"/>
  <c r="U878" i="6"/>
  <c r="U879" i="6"/>
  <c r="U880" i="6"/>
  <c r="U881" i="6"/>
  <c r="U882" i="6"/>
  <c r="U883" i="6"/>
  <c r="U884" i="6"/>
  <c r="U885" i="6"/>
  <c r="U886" i="6"/>
  <c r="U887" i="6"/>
  <c r="U888" i="6"/>
  <c r="U889" i="6"/>
  <c r="U890" i="6"/>
  <c r="U891" i="6"/>
  <c r="U892" i="6"/>
  <c r="U893" i="6"/>
  <c r="U894" i="6"/>
  <c r="U895" i="6"/>
  <c r="U896" i="6"/>
  <c r="U897" i="6"/>
  <c r="U898" i="6"/>
  <c r="U899" i="6"/>
  <c r="U900" i="6"/>
  <c r="U901" i="6"/>
  <c r="U902" i="6"/>
  <c r="U903" i="6"/>
  <c r="U904" i="6"/>
  <c r="U905" i="6"/>
  <c r="U906" i="6"/>
  <c r="U907" i="6"/>
  <c r="U908" i="6"/>
  <c r="U909" i="6"/>
  <c r="U910" i="6"/>
  <c r="U911" i="6"/>
  <c r="U912" i="6"/>
  <c r="U913" i="6"/>
  <c r="U914" i="6"/>
  <c r="U915" i="6"/>
  <c r="U916" i="6"/>
  <c r="U917" i="6"/>
  <c r="U918" i="6"/>
  <c r="U919" i="6"/>
  <c r="U920" i="6"/>
  <c r="U921" i="6"/>
  <c r="U922" i="6"/>
  <c r="U923" i="6"/>
  <c r="U924" i="6"/>
  <c r="U925" i="6"/>
  <c r="U926" i="6"/>
  <c r="U927" i="6"/>
  <c r="U928" i="6"/>
  <c r="U929" i="6"/>
  <c r="U930" i="6"/>
  <c r="U931" i="6"/>
  <c r="U932" i="6"/>
  <c r="U933" i="6"/>
  <c r="U934" i="6"/>
  <c r="U935" i="6"/>
  <c r="U936" i="6"/>
  <c r="U937" i="6"/>
  <c r="U938" i="6"/>
  <c r="U939" i="6"/>
  <c r="U940" i="6"/>
  <c r="U941" i="6"/>
  <c r="U942" i="6"/>
  <c r="U943" i="6"/>
  <c r="U944" i="6"/>
  <c r="U945" i="6"/>
  <c r="U946" i="6"/>
  <c r="U947" i="6"/>
  <c r="U948" i="6"/>
  <c r="U949" i="6"/>
  <c r="U950" i="6"/>
  <c r="U951" i="6"/>
  <c r="U952" i="6"/>
  <c r="U953" i="6"/>
  <c r="U954" i="6"/>
  <c r="U955" i="6"/>
  <c r="U956" i="6"/>
  <c r="U957" i="6"/>
  <c r="U958" i="6"/>
  <c r="U959" i="6"/>
  <c r="U960" i="6"/>
  <c r="U961" i="6"/>
  <c r="U962" i="6"/>
  <c r="U963" i="6"/>
  <c r="U964" i="6"/>
  <c r="U965" i="6"/>
  <c r="U966" i="6"/>
  <c r="U967" i="6"/>
  <c r="U968" i="6"/>
  <c r="U969" i="6"/>
  <c r="U970" i="6"/>
  <c r="U971" i="6"/>
  <c r="U972" i="6"/>
  <c r="U973" i="6"/>
  <c r="U974" i="6"/>
  <c r="U975" i="6"/>
  <c r="U976" i="6"/>
  <c r="U977" i="6"/>
  <c r="U978" i="6"/>
  <c r="U979" i="6"/>
  <c r="U980" i="6"/>
  <c r="U981" i="6"/>
  <c r="U982" i="6"/>
  <c r="U983" i="6"/>
  <c r="U984" i="6"/>
  <c r="U985" i="6"/>
  <c r="U986" i="6"/>
  <c r="U987" i="6"/>
  <c r="U988" i="6"/>
  <c r="U989" i="6"/>
  <c r="U990" i="6"/>
  <c r="U991" i="6"/>
  <c r="U992" i="6"/>
  <c r="U993" i="6"/>
  <c r="U994" i="6"/>
  <c r="U995" i="6"/>
  <c r="U996" i="6"/>
  <c r="U997" i="6"/>
  <c r="U998" i="6"/>
  <c r="U999" i="6"/>
  <c r="U1000" i="6"/>
  <c r="U1001" i="6"/>
  <c r="U1002" i="6"/>
  <c r="U1003" i="6"/>
  <c r="U1004" i="6"/>
  <c r="U1005" i="6"/>
  <c r="U1006" i="6"/>
  <c r="U1007" i="6"/>
  <c r="U1008" i="6"/>
  <c r="U1009" i="6"/>
  <c r="U1010" i="6"/>
  <c r="U1011" i="6"/>
  <c r="U1012" i="6"/>
  <c r="U1013" i="6"/>
  <c r="U1014" i="6"/>
  <c r="U1015" i="6"/>
  <c r="U1016" i="6"/>
  <c r="U1017" i="6"/>
  <c r="U1018" i="6"/>
  <c r="U1019" i="6"/>
  <c r="U1020" i="6"/>
  <c r="U1021" i="6"/>
  <c r="U1022" i="6"/>
  <c r="U1023" i="6"/>
  <c r="U1024" i="6"/>
  <c r="U1025" i="6"/>
  <c r="U1026" i="6"/>
  <c r="U1027" i="6"/>
  <c r="U1028" i="6"/>
  <c r="U1029" i="6"/>
  <c r="U1030" i="6"/>
  <c r="U1031" i="6"/>
  <c r="U1032" i="6"/>
  <c r="U1033" i="6"/>
  <c r="U1034" i="6"/>
  <c r="U1035" i="6"/>
  <c r="U1036" i="6"/>
  <c r="U1037" i="6"/>
  <c r="U1038" i="6"/>
  <c r="U1039" i="6"/>
  <c r="U1040" i="6"/>
  <c r="U1041" i="6"/>
  <c r="U1042" i="6"/>
  <c r="U1043" i="6"/>
  <c r="U1044" i="6"/>
  <c r="U1045" i="6"/>
  <c r="U1046" i="6"/>
  <c r="U1047" i="6"/>
  <c r="U1048" i="6"/>
  <c r="U1049" i="6"/>
  <c r="U1050" i="6"/>
  <c r="U1051" i="6"/>
  <c r="U1052" i="6"/>
  <c r="U1053" i="6"/>
  <c r="U1054" i="6"/>
  <c r="U1055" i="6"/>
  <c r="U1056" i="6"/>
  <c r="U1057" i="6"/>
  <c r="U1058" i="6"/>
  <c r="U1059" i="6"/>
  <c r="U1060" i="6"/>
  <c r="U1061" i="6"/>
  <c r="U1062" i="6"/>
  <c r="U1063" i="6"/>
  <c r="U1064" i="6"/>
  <c r="U1065" i="6"/>
  <c r="U1066" i="6"/>
  <c r="U1067" i="6"/>
  <c r="U1068" i="6"/>
  <c r="U1069" i="6"/>
  <c r="U1070" i="6"/>
  <c r="U1071" i="6"/>
  <c r="U1072" i="6"/>
  <c r="U1073" i="6"/>
  <c r="U1074" i="6"/>
  <c r="U1075" i="6"/>
  <c r="U1076" i="6"/>
  <c r="U1077" i="6"/>
  <c r="U1078" i="6"/>
  <c r="U1079" i="6"/>
  <c r="U1080" i="6"/>
  <c r="U1081" i="6"/>
  <c r="U1082" i="6"/>
  <c r="U1083" i="6"/>
  <c r="U1084" i="6"/>
  <c r="U1085" i="6"/>
  <c r="U1086" i="6"/>
  <c r="U1087" i="6"/>
  <c r="U1088" i="6"/>
  <c r="U1089" i="6"/>
  <c r="U1090" i="6"/>
  <c r="U1091" i="6"/>
  <c r="U1092" i="6"/>
  <c r="U1093" i="6"/>
  <c r="U1094" i="6"/>
  <c r="U1095" i="6"/>
  <c r="U1096" i="6"/>
  <c r="U1097" i="6"/>
  <c r="U1098" i="6"/>
  <c r="U1099" i="6"/>
  <c r="U1100" i="6"/>
  <c r="U1101" i="6"/>
  <c r="U1102" i="6"/>
  <c r="U1103" i="6"/>
  <c r="U1104" i="6"/>
  <c r="U1105" i="6"/>
  <c r="U1106" i="6"/>
  <c r="U1107" i="6"/>
  <c r="U1108" i="6"/>
  <c r="U1109" i="6"/>
  <c r="U1110" i="6"/>
  <c r="U1111" i="6"/>
  <c r="U1112" i="6"/>
  <c r="U1113" i="6"/>
  <c r="U1114" i="6"/>
  <c r="U1115" i="6"/>
  <c r="U1116" i="6"/>
  <c r="U1117" i="6"/>
  <c r="U1118" i="6"/>
  <c r="U1119" i="6"/>
  <c r="U1120" i="6"/>
  <c r="U1121" i="6"/>
  <c r="U1122" i="6"/>
  <c r="U1123" i="6"/>
  <c r="U1124" i="6"/>
  <c r="U1125" i="6"/>
  <c r="U1126" i="6"/>
  <c r="U1127" i="6"/>
  <c r="U1128" i="6"/>
  <c r="U1129" i="6"/>
  <c r="U1130" i="6"/>
  <c r="U1131" i="6"/>
  <c r="U1132" i="6"/>
  <c r="U1133" i="6"/>
  <c r="U1134" i="6"/>
  <c r="U1135" i="6"/>
  <c r="U1136" i="6"/>
  <c r="U1137" i="6"/>
  <c r="U1138" i="6"/>
  <c r="U1139" i="6"/>
  <c r="U1140" i="6"/>
  <c r="U1141" i="6"/>
  <c r="U1142" i="6"/>
  <c r="U1143" i="6"/>
  <c r="U1144" i="6"/>
  <c r="U1145" i="6"/>
  <c r="U1146" i="6"/>
  <c r="U1147" i="6"/>
  <c r="U1148" i="6"/>
  <c r="U1149" i="6"/>
  <c r="U1150" i="6"/>
  <c r="U1151" i="6"/>
  <c r="U1152" i="6"/>
  <c r="U1153" i="6"/>
  <c r="U1154" i="6"/>
  <c r="U1155" i="6"/>
  <c r="U1156" i="6"/>
  <c r="U1157" i="6"/>
  <c r="U1158" i="6"/>
  <c r="U1159" i="6"/>
  <c r="U1160" i="6"/>
  <c r="U1161" i="6"/>
  <c r="U1162" i="6"/>
  <c r="U1163" i="6"/>
  <c r="U1164" i="6"/>
  <c r="U1165" i="6"/>
  <c r="U1166" i="6"/>
  <c r="U1167" i="6"/>
  <c r="U1168" i="6"/>
  <c r="U1169" i="6"/>
  <c r="U1170" i="6"/>
  <c r="U1171" i="6"/>
  <c r="U1172" i="6"/>
  <c r="U1173" i="6"/>
  <c r="U1174" i="6"/>
  <c r="U1175" i="6"/>
  <c r="U1176" i="6"/>
  <c r="U1177" i="6"/>
  <c r="U1178" i="6"/>
  <c r="U1179" i="6"/>
  <c r="U1180" i="6"/>
  <c r="U1181" i="6"/>
  <c r="U1182" i="6"/>
  <c r="U1183" i="6"/>
  <c r="U1184" i="6"/>
  <c r="U1185" i="6"/>
  <c r="U1186" i="6"/>
  <c r="U1187" i="6"/>
  <c r="U1188" i="6"/>
  <c r="U1189" i="6"/>
  <c r="U1190" i="6"/>
  <c r="U1191" i="6"/>
  <c r="U1192" i="6"/>
  <c r="U1193" i="6"/>
  <c r="U1194" i="6"/>
  <c r="U1195" i="6"/>
  <c r="U1196" i="6"/>
  <c r="U1197" i="6"/>
  <c r="U1198" i="6"/>
  <c r="U1199" i="6"/>
  <c r="U1200" i="6"/>
  <c r="U1201" i="6"/>
  <c r="U1202" i="6"/>
  <c r="U1203" i="6"/>
  <c r="U1204" i="6"/>
  <c r="U1205" i="6"/>
  <c r="U1206" i="6"/>
  <c r="U1207" i="6"/>
  <c r="U1208" i="6"/>
  <c r="U1209" i="6"/>
  <c r="U1210" i="6"/>
  <c r="U1211" i="6"/>
  <c r="U1212" i="6"/>
  <c r="U1213" i="6"/>
  <c r="U1214" i="6"/>
  <c r="U1215" i="6"/>
  <c r="U1216" i="6"/>
  <c r="U1217" i="6"/>
  <c r="U1218" i="6"/>
  <c r="U1219" i="6"/>
  <c r="U1220" i="6"/>
  <c r="U1221" i="6"/>
  <c r="U1222" i="6"/>
  <c r="U1223" i="6"/>
  <c r="U1224" i="6"/>
  <c r="U1225" i="6"/>
  <c r="U1226" i="6"/>
  <c r="U1227" i="6"/>
  <c r="U1228" i="6"/>
  <c r="U1229" i="6"/>
  <c r="U1230" i="6"/>
  <c r="U1231" i="6"/>
  <c r="U1232" i="6"/>
  <c r="U1233" i="6"/>
  <c r="U1234" i="6"/>
  <c r="U1235" i="6"/>
  <c r="U1236" i="6"/>
  <c r="U1237" i="6"/>
  <c r="U1238" i="6"/>
  <c r="U1239" i="6"/>
  <c r="U1240" i="6"/>
  <c r="U1241" i="6"/>
  <c r="U1242" i="6"/>
  <c r="U1243" i="6"/>
  <c r="U1244" i="6"/>
  <c r="U1245" i="6"/>
  <c r="U1246" i="6"/>
  <c r="U1247" i="6"/>
  <c r="U1248" i="6"/>
  <c r="U1249" i="6"/>
  <c r="U1250" i="6"/>
  <c r="U1251" i="6"/>
  <c r="U1252" i="6"/>
  <c r="U1253" i="6"/>
  <c r="U1254" i="6"/>
  <c r="U1255" i="6"/>
  <c r="U1256" i="6"/>
  <c r="U1257" i="6"/>
  <c r="U1258" i="6"/>
  <c r="U1259" i="6"/>
  <c r="U1260" i="6"/>
  <c r="U1261" i="6"/>
  <c r="U126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A1828B-3E80-49E3-9903-BB240F5900D6}" keepAlive="1" name="Query - check" description="Connection to the 'check' query in the workbook." type="5" refreshedVersion="8" background="1" saveData="1">
    <dbPr connection="Provider=Microsoft.Mashup.OleDb.1;Data Source=$Workbook$;Location=check;Extended Properties=&quot;&quot;" command="SELECT * FROM [check]"/>
  </connection>
  <connection id="2" xr16:uid="{649AC46F-F367-4DDE-97F8-CD2DF929C2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26EB123-56A0-4132-BD93-66ABC4910CF6}" name="WorksheetConnection_Sales Order Performance.xlsx!Sales_Order" type="102" refreshedVersion="8" minRefreshableVersion="5">
    <extLst>
      <ext xmlns:x15="http://schemas.microsoft.com/office/spreadsheetml/2010/11/main" uri="{DE250136-89BD-433C-8126-D09CA5730AF9}">
        <x15:connection id="Sales_Order" autoDelete="1">
          <x15:rangePr sourceName="_xlcn.WorksheetConnection_SalesOrderPerformance.xlsxSales_Order1"/>
        </x15:connection>
      </ext>
    </extLst>
  </connection>
</connections>
</file>

<file path=xl/sharedStrings.xml><?xml version="1.0" encoding="utf-8"?>
<sst xmlns="http://schemas.openxmlformats.org/spreadsheetml/2006/main" count="16529" uniqueCount="395">
  <si>
    <t>Shipped</t>
  </si>
  <si>
    <t>Motorcycles</t>
  </si>
  <si>
    <t>S10_1678</t>
  </si>
  <si>
    <t>NYC</t>
  </si>
  <si>
    <t>NY</t>
  </si>
  <si>
    <t>USA</t>
  </si>
  <si>
    <t>NA</t>
  </si>
  <si>
    <t>Small</t>
  </si>
  <si>
    <t>Medium</t>
  </si>
  <si>
    <t>Australian Collectors, Co.</t>
  </si>
  <si>
    <t>636 St Kilda Road</t>
  </si>
  <si>
    <t>Melbourne</t>
  </si>
  <si>
    <t>Victoria</t>
  </si>
  <si>
    <t>Australia</t>
  </si>
  <si>
    <t>APAC</t>
  </si>
  <si>
    <t>Vitachrome Inc.</t>
  </si>
  <si>
    <t>2678 Kingston Rd.</t>
  </si>
  <si>
    <t>Large</t>
  </si>
  <si>
    <t>Souveniers And Things Co.</t>
  </si>
  <si>
    <t>Monitor Money Building, 815 Pacific Hwy</t>
  </si>
  <si>
    <t>Chatswood</t>
  </si>
  <si>
    <t>NSW</t>
  </si>
  <si>
    <t>Classic Cars</t>
  </si>
  <si>
    <t>S10_1949</t>
  </si>
  <si>
    <t>Classic Legends Inc.</t>
  </si>
  <si>
    <t>5905 Pompton St.</t>
  </si>
  <si>
    <t>Anna's Decorations, Ltd</t>
  </si>
  <si>
    <t>201 Miller Street</t>
  </si>
  <si>
    <t>North Sydney</t>
  </si>
  <si>
    <t>In Process</t>
  </si>
  <si>
    <t>S10_2016</t>
  </si>
  <si>
    <t>S10_4698</t>
  </si>
  <si>
    <t>S10_4757</t>
  </si>
  <si>
    <t>S10_4962</t>
  </si>
  <si>
    <t>S12_1099</t>
  </si>
  <si>
    <t>S12_1108</t>
  </si>
  <si>
    <t>Muscle Machine Inc</t>
  </si>
  <si>
    <t>4092 Furth Circle</t>
  </si>
  <si>
    <t>Trucks and Buses</t>
  </si>
  <si>
    <t>S12_1666</t>
  </si>
  <si>
    <t>S12_2823</t>
  </si>
  <si>
    <t>Microscale Inc.</t>
  </si>
  <si>
    <t>5290 North Pendale Street</t>
  </si>
  <si>
    <t>S12_3148</t>
  </si>
  <si>
    <t>S12_3891</t>
  </si>
  <si>
    <t>S12_3990</t>
  </si>
  <si>
    <t>S12_4473</t>
  </si>
  <si>
    <t>S18_1097</t>
  </si>
  <si>
    <t>S18_1129</t>
  </si>
  <si>
    <t>Vintage Cars</t>
  </si>
  <si>
    <t>S18_1342</t>
  </si>
  <si>
    <t>S18_1367</t>
  </si>
  <si>
    <t>S18_1589</t>
  </si>
  <si>
    <t>Planes</t>
  </si>
  <si>
    <t>S18_1749</t>
  </si>
  <si>
    <t>S18_1889</t>
  </si>
  <si>
    <t>S18_1984</t>
  </si>
  <si>
    <t>S18_2238</t>
  </si>
  <si>
    <t>S18_2248</t>
  </si>
  <si>
    <t>S18_2319</t>
  </si>
  <si>
    <t>S18_2325</t>
  </si>
  <si>
    <t>S18_2432</t>
  </si>
  <si>
    <t>S18_2581</t>
  </si>
  <si>
    <t>S18_2625</t>
  </si>
  <si>
    <t>S18_2795</t>
  </si>
  <si>
    <t>S18_2870</t>
  </si>
  <si>
    <t>S18_2949</t>
  </si>
  <si>
    <t>S18_2957</t>
  </si>
  <si>
    <t>Ships</t>
  </si>
  <si>
    <t>S18_3136</t>
  </si>
  <si>
    <t>S18_3232</t>
  </si>
  <si>
    <t>Trains</t>
  </si>
  <si>
    <t>S18_3278</t>
  </si>
  <si>
    <t>S18_3320</t>
  </si>
  <si>
    <t>S18_3482</t>
  </si>
  <si>
    <t>S18_3685</t>
  </si>
  <si>
    <t>S18_3782</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</si>
  <si>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</si>
  <si>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</si>
  <si>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</si>
  <si>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</si>
  <si>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</si>
  <si>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</si>
  <si>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</si>
  <si>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</si>
  <si>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</si>
  <si>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</si>
  <si>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</si>
  <si>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</si>
  <si>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</si>
  <si>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</si>
  <si>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</si>
  <si>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</si>
  <si>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</si>
  <si>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</si>
  <si>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</si>
  <si>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</si>
  <si>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S24_2887</t>
  </si>
  <si>
    <t>S24_2972</t>
  </si>
  <si>
    <t>S24_3191</t>
  </si>
  <si>
    <t>S24_3371</t>
  </si>
  <si>
    <t>S24_3420</t>
  </si>
  <si>
    <t>S24_3432</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</si>
  <si>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</si>
  <si>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</si>
  <si>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</si>
  <si>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</si>
  <si>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</si>
  <si>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</si>
  <si>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</si>
  <si>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</si>
  <si>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</si>
  <si>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</si>
  <si>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</si>
  <si>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</si>
  <si>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</si>
  <si>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</si>
  <si>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</si>
  <si>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</si>
  <si>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</si>
  <si>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</si>
  <si>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</si>
  <si>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S700_1691</t>
  </si>
  <si>
    <t>S700_1938</t>
  </si>
  <si>
    <t>S700_2047</t>
  </si>
  <si>
    <t>S700_2466</t>
  </si>
  <si>
    <t>S700_2824</t>
  </si>
  <si>
    <t>S700_2834</t>
  </si>
  <si>
    <t>S700_3167</t>
  </si>
  <si>
    <t>S700_3505</t>
  </si>
  <si>
    <t>S700_3962</t>
  </si>
  <si>
    <t>S700_4002</t>
  </si>
  <si>
    <t>S72_1253</t>
  </si>
  <si>
    <t>S72_3212</t>
  </si>
  <si>
    <t>3004</t>
  </si>
  <si>
    <t>10022</t>
  </si>
  <si>
    <t>2067</t>
  </si>
  <si>
    <t>2060</t>
  </si>
  <si>
    <t>Order number</t>
  </si>
  <si>
    <t>Quantity ordered</t>
  </si>
  <si>
    <t>Price each</t>
  </si>
  <si>
    <t>Orderline number</t>
  </si>
  <si>
    <t>Orderdate</t>
  </si>
  <si>
    <t>Status</t>
  </si>
  <si>
    <t>Qtr_Id</t>
  </si>
  <si>
    <t>Year_Id</t>
  </si>
  <si>
    <t>Product line</t>
  </si>
  <si>
    <t>Product code</t>
  </si>
  <si>
    <t>Customer name</t>
  </si>
  <si>
    <t>City</t>
  </si>
  <si>
    <t>State</t>
  </si>
  <si>
    <t>Postal code</t>
  </si>
  <si>
    <t>Country</t>
  </si>
  <si>
    <t>Territory</t>
  </si>
  <si>
    <t>2003</t>
  </si>
  <si>
    <t>Land of Toys Inc.</t>
  </si>
  <si>
    <t>897 Long Airport Avenue</t>
  </si>
  <si>
    <t>EMEA</t>
  </si>
  <si>
    <t>Toys4GrownUps.com</t>
  </si>
  <si>
    <t>78934 Hillside Dr.</t>
  </si>
  <si>
    <t>Pasadena</t>
  </si>
  <si>
    <t>CA</t>
  </si>
  <si>
    <t>90003</t>
  </si>
  <si>
    <t>Technics Stores Inc.</t>
  </si>
  <si>
    <t>9408 Furth Circle</t>
  </si>
  <si>
    <t>Burlingame</t>
  </si>
  <si>
    <t>94217</t>
  </si>
  <si>
    <t>2004</t>
  </si>
  <si>
    <t>Tekni Collectables Inc.</t>
  </si>
  <si>
    <t>7476 Moss Rd.</t>
  </si>
  <si>
    <t>Newark</t>
  </si>
  <si>
    <t>NJ</t>
  </si>
  <si>
    <t>94019</t>
  </si>
  <si>
    <t>Gift Depot Inc.</t>
  </si>
  <si>
    <t>25593 South Bay Ln.</t>
  </si>
  <si>
    <t>Bridgewater</t>
  </si>
  <si>
    <t>CT</t>
  </si>
  <si>
    <t>97562</t>
  </si>
  <si>
    <t>Marta's Replicas Co.</t>
  </si>
  <si>
    <t>39323 Spinnaker Dr.</t>
  </si>
  <si>
    <t>Cambridge</t>
  </si>
  <si>
    <t>MA</t>
  </si>
  <si>
    <t>51247</t>
  </si>
  <si>
    <t>Diecast Classics Inc.</t>
  </si>
  <si>
    <t>7586 Pompton St.</t>
  </si>
  <si>
    <t>Allentown</t>
  </si>
  <si>
    <t>PA</t>
  </si>
  <si>
    <t>70267</t>
  </si>
  <si>
    <t>2005</t>
  </si>
  <si>
    <t>FunGiftIdeas.com</t>
  </si>
  <si>
    <t>1785 First Street</t>
  </si>
  <si>
    <t>New Bedford</t>
  </si>
  <si>
    <t>50553</t>
  </si>
  <si>
    <t>UK</t>
  </si>
  <si>
    <t>Disputed</t>
  </si>
  <si>
    <t>Japan</t>
  </si>
  <si>
    <t>Australian Gift Network, Co</t>
  </si>
  <si>
    <t>31 Duncan St. West End</t>
  </si>
  <si>
    <t>South Brisbane</t>
  </si>
  <si>
    <t>Queensland</t>
  </si>
  <si>
    <t>4101</t>
  </si>
  <si>
    <t>Classic Gift Ideas, Inc</t>
  </si>
  <si>
    <t>782 First Street</t>
  </si>
  <si>
    <t>Philadelphia</t>
  </si>
  <si>
    <t>71270</t>
  </si>
  <si>
    <t>Canadian Gift Exchange Network</t>
  </si>
  <si>
    <t>1900 Oak St.</t>
  </si>
  <si>
    <t>Vancouver</t>
  </si>
  <si>
    <t>BC</t>
  </si>
  <si>
    <t>V3F 2K1</t>
  </si>
  <si>
    <t>Canada</t>
  </si>
  <si>
    <t>West Coast Collectables Co.</t>
  </si>
  <si>
    <t>3675 Furth Circle</t>
  </si>
  <si>
    <t>Burbank</t>
  </si>
  <si>
    <t>Cambridge Collectables Co.</t>
  </si>
  <si>
    <t>4658 Baden Av.</t>
  </si>
  <si>
    <t>Super Scale Inc.</t>
  </si>
  <si>
    <t>567 North Pendale Street</t>
  </si>
  <si>
    <t>New Haven</t>
  </si>
  <si>
    <t>97823</t>
  </si>
  <si>
    <t>Tokyo Collectables, Ltd</t>
  </si>
  <si>
    <t>2-2-8 Roppongi</t>
  </si>
  <si>
    <t>Minato-ku</t>
  </si>
  <si>
    <t>Tokyo</t>
  </si>
  <si>
    <t>106-0032</t>
  </si>
  <si>
    <t>Mini Gifts Distributors Ltd.</t>
  </si>
  <si>
    <t>5677 Strong St.</t>
  </si>
  <si>
    <t>San Rafael</t>
  </si>
  <si>
    <t>Online Diecast Creations Co.</t>
  </si>
  <si>
    <t>2304 Long Airport Avenue</t>
  </si>
  <si>
    <t>Nashua</t>
  </si>
  <si>
    <t>NH</t>
  </si>
  <si>
    <t>62005</t>
  </si>
  <si>
    <t>Collectables For Less Inc.</t>
  </si>
  <si>
    <t>7825 Douglas Av.</t>
  </si>
  <si>
    <t>Brickhaven</t>
  </si>
  <si>
    <t>58339</t>
  </si>
  <si>
    <t>Quebec Home Shopping Network</t>
  </si>
  <si>
    <t>43 rue St. Laurent</t>
  </si>
  <si>
    <t>Montreal</t>
  </si>
  <si>
    <t>Quebec</t>
  </si>
  <si>
    <t>H1J 1C3</t>
  </si>
  <si>
    <t>Osaka Souveniers Co.</t>
  </si>
  <si>
    <t>Dojima Avanza 4F, 1-6-20 Dojima, Kita-ku</t>
  </si>
  <si>
    <t>Osaka</t>
  </si>
  <si>
    <t>530-0003</t>
  </si>
  <si>
    <t>Motor Mint Distributors Inc.</t>
  </si>
  <si>
    <t>11328 Douglas Av.</t>
  </si>
  <si>
    <t>Mini Classics</t>
  </si>
  <si>
    <t>3758 North Pendale Street</t>
  </si>
  <si>
    <t>White Plains</t>
  </si>
  <si>
    <t>24067</t>
  </si>
  <si>
    <t>Mini Creations Ltd.</t>
  </si>
  <si>
    <t>4575 Hillside Dr.</t>
  </si>
  <si>
    <t>Cancelled</t>
  </si>
  <si>
    <t>Collectable Mini Designs Co.</t>
  </si>
  <si>
    <t>361 Furth Circle</t>
  </si>
  <si>
    <t>San Diego</t>
  </si>
  <si>
    <t>91217</t>
  </si>
  <si>
    <t>Royal Canadian Collectables, Ltd.</t>
  </si>
  <si>
    <t>23 Tsawassen Blvd.</t>
  </si>
  <si>
    <t>Tsawassen</t>
  </si>
  <si>
    <t>T2F 8M4</t>
  </si>
  <si>
    <t>Gifts4AllAges.com</t>
  </si>
  <si>
    <t>8616 Spinnaker Dr.</t>
  </si>
  <si>
    <t>Boston</t>
  </si>
  <si>
    <t>51003</t>
  </si>
  <si>
    <t>giftsbymail.co.uk</t>
  </si>
  <si>
    <t>Garden House Crowther Way</t>
  </si>
  <si>
    <t>Cowes</t>
  </si>
  <si>
    <t>Isle of Wight</t>
  </si>
  <si>
    <t>PO31 7PJ</t>
  </si>
  <si>
    <t>The Sharp Gifts Warehouse</t>
  </si>
  <si>
    <t>3086 Ingle Ln.</t>
  </si>
  <si>
    <t>San Jose</t>
  </si>
  <si>
    <t>On Hold</t>
  </si>
  <si>
    <t>Resolved</t>
  </si>
  <si>
    <t>Diecast Collectables</t>
  </si>
  <si>
    <t>6251 Ingle Ln.</t>
  </si>
  <si>
    <t>Online Mini Collectables</t>
  </si>
  <si>
    <t>7635 Spinnaker Dr.</t>
  </si>
  <si>
    <t>S12_3380</t>
  </si>
  <si>
    <t>Boards &amp; Toys Co.</t>
  </si>
  <si>
    <t>4097 Douglas Av.</t>
  </si>
  <si>
    <t>Glendale</t>
  </si>
  <si>
    <t>92561</t>
  </si>
  <si>
    <t>Signal Collectibles Ltd.</t>
  </si>
  <si>
    <t>2793 Furth Circle</t>
  </si>
  <si>
    <t>Brisbane</t>
  </si>
  <si>
    <t>S12_4675</t>
  </si>
  <si>
    <t>Signal Gift Stores</t>
  </si>
  <si>
    <t>8489 Strong St.</t>
  </si>
  <si>
    <t>Las Vegas</t>
  </si>
  <si>
    <t>NV</t>
  </si>
  <si>
    <t>83030</t>
  </si>
  <si>
    <t>Jan</t>
  </si>
  <si>
    <t>Australian Collectables, Ltd</t>
  </si>
  <si>
    <t>7 Allen Street</t>
  </si>
  <si>
    <t>Glen Waverly</t>
  </si>
  <si>
    <t>3150</t>
  </si>
  <si>
    <t>S18_1662</t>
  </si>
  <si>
    <t>Gift Ideas Corp.</t>
  </si>
  <si>
    <t>2440 Pompton St.</t>
  </si>
  <si>
    <t>97561</t>
  </si>
  <si>
    <t>S18_3029</t>
  </si>
  <si>
    <t>Auto-Moto Classics Inc.</t>
  </si>
  <si>
    <t>16780 Pompton St.</t>
  </si>
  <si>
    <t>S18_3140</t>
  </si>
  <si>
    <t>S18_3259</t>
  </si>
  <si>
    <t>S18_3856</t>
  </si>
  <si>
    <t>S24_2841</t>
  </si>
  <si>
    <t>S24_3151</t>
  </si>
  <si>
    <t>S24_3816</t>
  </si>
  <si>
    <t>S700_1138</t>
  </si>
  <si>
    <t>S700_2610</t>
  </si>
  <si>
    <t>Address line</t>
  </si>
  <si>
    <t>Contact Name</t>
  </si>
  <si>
    <t>Dealsize</t>
  </si>
  <si>
    <t>Month</t>
  </si>
  <si>
    <t>Kwai Yu</t>
  </si>
  <si>
    <t>February</t>
  </si>
  <si>
    <t>Julie Young</t>
  </si>
  <si>
    <t>August</t>
  </si>
  <si>
    <t>Juri Hirano</t>
  </si>
  <si>
    <t>October</t>
  </si>
  <si>
    <t>Peter Ferguson</t>
  </si>
  <si>
    <t>Michael Frick</t>
  </si>
  <si>
    <t>April</t>
  </si>
  <si>
    <t>William Brown</t>
  </si>
  <si>
    <t>May</t>
  </si>
  <si>
    <t>Julie King</t>
  </si>
  <si>
    <t>June</t>
  </si>
  <si>
    <t>Marta Hernandez</t>
  </si>
  <si>
    <t>Kyung Yu</t>
  </si>
  <si>
    <t>November</t>
  </si>
  <si>
    <t>Adrian Huxley</t>
  </si>
  <si>
    <t>December</t>
  </si>
  <si>
    <t>Violeta Benitez</t>
  </si>
  <si>
    <t>March</t>
  </si>
  <si>
    <t>July</t>
  </si>
  <si>
    <t>Maria Hernandez</t>
  </si>
  <si>
    <t>Tony Calaghan</t>
  </si>
  <si>
    <t>Francisca Cervantes</t>
  </si>
  <si>
    <t>Yoshi Tannamuri</t>
  </si>
  <si>
    <t>Steve Thompson</t>
  </si>
  <si>
    <t>January</t>
  </si>
  <si>
    <t>Kyung Tseng</t>
  </si>
  <si>
    <t>Leslie Murphy</t>
  </si>
  <si>
    <t>Akiko Shimamura</t>
  </si>
  <si>
    <t>Valarie Nelson</t>
  </si>
  <si>
    <t>Valarie Young</t>
  </si>
  <si>
    <t>Allen Nelson</t>
  </si>
  <si>
    <t>Anna O'Hara</t>
  </si>
  <si>
    <t>Jean Fresnisre</t>
  </si>
  <si>
    <t>Mory Kentary</t>
  </si>
  <si>
    <t>Rosa Hernandez</t>
  </si>
  <si>
    <t>Steve Frick</t>
  </si>
  <si>
    <t>Wing C Tam</t>
  </si>
  <si>
    <t>Valarie Thompson</t>
  </si>
  <si>
    <t>Elizabeth Lincoln</t>
  </si>
  <si>
    <t>Juri Yoshido</t>
  </si>
  <si>
    <t>September</t>
  </si>
  <si>
    <t>Helen Bennett</t>
  </si>
  <si>
    <t>Sue Frick</t>
  </si>
  <si>
    <t>Valarie Franco</t>
  </si>
  <si>
    <t>Miguel Barajas</t>
  </si>
  <si>
    <t>Jeff Young</t>
  </si>
  <si>
    <t>Kee Kuo</t>
  </si>
  <si>
    <t>Leslie Young</t>
  </si>
  <si>
    <t>Sue Taylor</t>
  </si>
  <si>
    <t>Sue King</t>
  </si>
  <si>
    <t>Sean Connery</t>
  </si>
  <si>
    <t>Dan Lewis</t>
  </si>
  <si>
    <t>Leslie Taylor</t>
  </si>
  <si>
    <t>Total Sales</t>
  </si>
  <si>
    <t>Sales Amount</t>
  </si>
  <si>
    <t>Total Orders</t>
  </si>
  <si>
    <t>Total Quantity</t>
  </si>
  <si>
    <t>Avg Order Value</t>
  </si>
  <si>
    <t xml:space="preserve">Averge Price </t>
  </si>
  <si>
    <t>Row Labels</t>
  </si>
  <si>
    <t>Grand Total</t>
  </si>
  <si>
    <t>Feb</t>
  </si>
  <si>
    <t>Mar</t>
  </si>
  <si>
    <t>Apr</t>
  </si>
  <si>
    <t>Jun</t>
  </si>
  <si>
    <t>Jul</t>
  </si>
  <si>
    <t>Aug</t>
  </si>
  <si>
    <t>Sep</t>
  </si>
  <si>
    <t>Oct</t>
  </si>
  <si>
    <t>Nov</t>
  </si>
  <si>
    <t>Dec</t>
  </si>
  <si>
    <t>Sum of Sales Amount</t>
  </si>
  <si>
    <t>Sum of Order number</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</si>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</sst>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FF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20331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22" fontId="0" fillId="0" borderId="0" xfId="0" applyNumberFormat="1"/>
    <xf numFmtId="44" fontId="16" fillId="0" borderId="0" xfId="0" applyNumberFormat="1" applyFont="1"/>
    <xf numFmtId="44" fontId="0" fillId="0" borderId="0" xfId="0" applyNumberFormat="1"/>
    <xf numFmtId="165" fontId="16"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33" borderId="0" xfId="0" applyFont="1" applyFill="1"/>
    <xf numFmtId="165" fontId="13" fillId="33" borderId="0" xfId="0" applyNumberFormat="1" applyFont="1" applyFill="1" applyAlignment="1">
      <alignment horizontal="center"/>
    </xf>
    <xf numFmtId="165" fontId="17" fillId="33" borderId="0" xfId="0" applyNumberFormat="1" applyFont="1" applyFill="1" applyAlignment="1">
      <alignment horizontal="center"/>
    </xf>
    <xf numFmtId="165" fontId="13" fillId="34" borderId="0" xfId="0" applyNumberFormat="1" applyFont="1" applyFill="1" applyAlignment="1">
      <alignment horizontal="center"/>
    </xf>
    <xf numFmtId="164" fontId="13" fillId="34" borderId="0" xfId="0" applyNumberFormat="1" applyFont="1" applyFill="1" applyAlignment="1">
      <alignment horizontal="center"/>
    </xf>
    <xf numFmtId="165" fontId="17" fillId="34" borderId="0" xfId="0" applyNumberFormat="1" applyFont="1" applyFill="1" applyAlignment="1">
      <alignment horizontal="center"/>
    </xf>
    <xf numFmtId="164" fontId="17" fillId="34" borderId="0" xfId="0" applyNumberFormat="1" applyFont="1" applyFill="1" applyAlignment="1">
      <alignment horizontal="center"/>
    </xf>
    <xf numFmtId="165" fontId="18" fillId="33" borderId="0" xfId="0" applyNumberFormat="1" applyFont="1" applyFill="1"/>
    <xf numFmtId="0" fontId="17" fillId="0" borderId="0" xfId="0" applyFont="1"/>
    <xf numFmtId="0" fontId="0" fillId="33" borderId="0" xfId="0" applyFill="1"/>
    <xf numFmtId="0" fontId="17" fillId="33" borderId="0" xfId="0" applyFont="1" applyFill="1"/>
    <xf numFmtId="0" fontId="13"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0">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s>
  <tableStyles count="0" defaultTableStyle="TableStyleMedium2" defaultPivotStyle="PivotStyleLight16"/>
  <colors>
    <mruColors>
      <color rgb="FF6E0650"/>
      <color rgb="FFE062DA"/>
      <color rgb="FF1D0101"/>
      <color rgb="FFFA94E9"/>
      <color rgb="FFC20A8D"/>
      <color rgb="FFF852BD"/>
      <color rgb="FFF977CB"/>
      <color rgb="FFF50BA1"/>
      <color rgb="FFF62AAD"/>
      <color rgb="FFBC08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5.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powerPivotData" Target="model/item.data"/><Relationship Id="rId28" Type="http://schemas.openxmlformats.org/officeDocument/2006/relationships/customXml" Target="../customXml/item4.xml"/><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Order Performance Excel-Final Project.xlsx]Chart!Monthly_Sales Trend</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Chart!$B$3</c:f>
              <c:strCache>
                <c:ptCount val="1"/>
                <c:pt idx="0">
                  <c:v>Total</c:v>
                </c:pt>
              </c:strCache>
            </c:strRef>
          </c:tx>
          <c:spPr>
            <a:ln w="28575" cap="rnd">
              <a:solidFill>
                <a:schemeClr val="accent2"/>
              </a:solidFill>
              <a:round/>
            </a:ln>
            <a:effectLst/>
          </c:spPr>
          <c:marker>
            <c:symbol val="none"/>
          </c:marker>
          <c:cat>
            <c:multiLvlStrRef>
              <c:f>Chart!$A$4:$A$49</c:f>
              <c:multiLvlStrCache>
                <c:ptCount val="33"/>
                <c:lvl>
                  <c:pt idx="0">
                    <c:v>2003</c:v>
                  </c:pt>
                  <c:pt idx="1">
                    <c:v>2004</c:v>
                  </c:pt>
                  <c:pt idx="2">
                    <c:v>2005</c:v>
                  </c:pt>
                  <c:pt idx="3">
                    <c:v>2003</c:v>
                  </c:pt>
                  <c:pt idx="4">
                    <c:v>2004</c:v>
                  </c:pt>
                  <c:pt idx="5">
                    <c:v>2005</c:v>
                  </c:pt>
                  <c:pt idx="6">
                    <c:v>2003</c:v>
                  </c:pt>
                  <c:pt idx="7">
                    <c:v>2004</c:v>
                  </c:pt>
                  <c:pt idx="8">
                    <c:v>2005</c:v>
                  </c:pt>
                  <c:pt idx="9">
                    <c:v>2003</c:v>
                  </c:pt>
                  <c:pt idx="10">
                    <c:v>2004</c:v>
                  </c:pt>
                  <c:pt idx="11">
                    <c:v>2005</c:v>
                  </c:pt>
                  <c:pt idx="12">
                    <c:v>2003</c:v>
                  </c:pt>
                  <c:pt idx="13">
                    <c:v>2004</c:v>
                  </c:pt>
                  <c:pt idx="14">
                    <c:v>2005</c:v>
                  </c:pt>
                  <c:pt idx="15">
                    <c:v>2003</c:v>
                  </c:pt>
                  <c:pt idx="16">
                    <c:v>2004</c:v>
                  </c:pt>
                  <c:pt idx="17">
                    <c:v>2005</c:v>
                  </c:pt>
                  <c:pt idx="18">
                    <c:v>2003</c:v>
                  </c:pt>
                  <c:pt idx="19">
                    <c:v>2004</c:v>
                  </c:pt>
                  <c:pt idx="20">
                    <c:v>2005</c:v>
                  </c:pt>
                  <c:pt idx="21">
                    <c:v>2003</c:v>
                  </c:pt>
                  <c:pt idx="22">
                    <c:v>2004</c:v>
                  </c:pt>
                  <c:pt idx="23">
                    <c:v>2005</c:v>
                  </c:pt>
                  <c:pt idx="24">
                    <c:v>2003</c:v>
                  </c:pt>
                  <c:pt idx="25">
                    <c:v>2005</c:v>
                  </c:pt>
                  <c:pt idx="26">
                    <c:v>2003</c:v>
                  </c:pt>
                  <c:pt idx="27">
                    <c:v>2004</c:v>
                  </c:pt>
                  <c:pt idx="28">
                    <c:v>2003</c:v>
                  </c:pt>
                  <c:pt idx="29">
                    <c:v>2004</c:v>
                  </c:pt>
                  <c:pt idx="30">
                    <c:v>2003</c:v>
                  </c:pt>
                  <c:pt idx="31">
                    <c:v>2004</c:v>
                  </c:pt>
                  <c:pt idx="32">
                    <c:v>2005</c:v>
                  </c:pt>
                </c:lvl>
                <c:lvl>
                  <c:pt idx="0">
                    <c:v>Jan</c:v>
                  </c:pt>
                  <c:pt idx="3">
                    <c:v>Feb</c:v>
                  </c:pt>
                  <c:pt idx="6">
                    <c:v>Mar</c:v>
                  </c:pt>
                  <c:pt idx="9">
                    <c:v>Apr</c:v>
                  </c:pt>
                  <c:pt idx="12">
                    <c:v>May</c:v>
                  </c:pt>
                  <c:pt idx="15">
                    <c:v>Jun</c:v>
                  </c:pt>
                  <c:pt idx="18">
                    <c:v>Jul</c:v>
                  </c:pt>
                  <c:pt idx="21">
                    <c:v>Aug</c:v>
                  </c:pt>
                  <c:pt idx="24">
                    <c:v>Sep</c:v>
                  </c:pt>
                  <c:pt idx="26">
                    <c:v>Oct</c:v>
                  </c:pt>
                  <c:pt idx="28">
                    <c:v>Nov</c:v>
                  </c:pt>
                  <c:pt idx="30">
                    <c:v>Dec</c:v>
                  </c:pt>
                </c:lvl>
              </c:multiLvlStrCache>
            </c:multiLvlStrRef>
          </c:cat>
          <c:val>
            <c:numRef>
              <c:f>Chart!$B$4:$B$49</c:f>
              <c:numCache>
                <c:formatCode>General</c:formatCode>
                <c:ptCount val="33"/>
                <c:pt idx="0">
                  <c:v>8234.5600000000013</c:v>
                </c:pt>
                <c:pt idx="1">
                  <c:v>112641.45000000001</c:v>
                </c:pt>
                <c:pt idx="2">
                  <c:v>179235</c:v>
                </c:pt>
                <c:pt idx="3">
                  <c:v>128768.87999999999</c:v>
                </c:pt>
                <c:pt idx="4">
                  <c:v>242676.8000000001</c:v>
                </c:pt>
                <c:pt idx="5">
                  <c:v>65446.04</c:v>
                </c:pt>
                <c:pt idx="6">
                  <c:v>63436.680000000008</c:v>
                </c:pt>
                <c:pt idx="7">
                  <c:v>77752.03</c:v>
                </c:pt>
                <c:pt idx="8">
                  <c:v>100197.49</c:v>
                </c:pt>
                <c:pt idx="9">
                  <c:v>98734.51</c:v>
                </c:pt>
                <c:pt idx="10">
                  <c:v>155902.53</c:v>
                </c:pt>
                <c:pt idx="11">
                  <c:v>97572.760000000024</c:v>
                </c:pt>
                <c:pt idx="12">
                  <c:v>133429.09999999998</c:v>
                </c:pt>
                <c:pt idx="13">
                  <c:v>82029.850000000006</c:v>
                </c:pt>
                <c:pt idx="14">
                  <c:v>83592.339999999982</c:v>
                </c:pt>
                <c:pt idx="15">
                  <c:v>55352.08</c:v>
                </c:pt>
                <c:pt idx="16">
                  <c:v>140129.47999999998</c:v>
                </c:pt>
                <c:pt idx="17">
                  <c:v>44166.21</c:v>
                </c:pt>
                <c:pt idx="18">
                  <c:v>57046.22</c:v>
                </c:pt>
                <c:pt idx="19">
                  <c:v>166173.05000000008</c:v>
                </c:pt>
                <c:pt idx="20">
                  <c:v>9211.7999999999993</c:v>
                </c:pt>
                <c:pt idx="21">
                  <c:v>96444.499999999985</c:v>
                </c:pt>
                <c:pt idx="22">
                  <c:v>203667.53999999995</c:v>
                </c:pt>
                <c:pt idx="23">
                  <c:v>3500</c:v>
                </c:pt>
                <c:pt idx="24">
                  <c:v>59814.200000000004</c:v>
                </c:pt>
                <c:pt idx="25">
                  <c:v>38878.840000000004</c:v>
                </c:pt>
                <c:pt idx="26">
                  <c:v>152762.09999999995</c:v>
                </c:pt>
                <c:pt idx="27">
                  <c:v>268042.31999999989</c:v>
                </c:pt>
                <c:pt idx="28">
                  <c:v>264224.73000000004</c:v>
                </c:pt>
                <c:pt idx="29">
                  <c:v>331258.94999999995</c:v>
                </c:pt>
                <c:pt idx="30">
                  <c:v>71599.949999999983</c:v>
                </c:pt>
                <c:pt idx="31">
                  <c:v>78908.930000000008</c:v>
                </c:pt>
                <c:pt idx="32">
                  <c:v>35761.899999999994</c:v>
                </c:pt>
              </c:numCache>
            </c:numRef>
          </c:val>
          <c:smooth val="0"/>
          <c:extLst>
            <c:ext xmlns:c16="http://schemas.microsoft.com/office/drawing/2014/chart" uri="{C3380CC4-5D6E-409C-BE32-E72D297353CC}">
              <c16:uniqueId val="{00000000-3EB5-4EC6-BA6F-B02BADEF0DC4}"/>
            </c:ext>
          </c:extLst>
        </c:ser>
        <c:dLbls>
          <c:showLegendKey val="0"/>
          <c:showVal val="0"/>
          <c:showCatName val="0"/>
          <c:showSerName val="0"/>
          <c:showPercent val="0"/>
          <c:showBubbleSize val="0"/>
        </c:dLbls>
        <c:smooth val="0"/>
        <c:axId val="627903359"/>
        <c:axId val="661419535"/>
      </c:lineChart>
      <c:catAx>
        <c:axId val="62790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1419535"/>
        <c:crosses val="autoZero"/>
        <c:auto val="1"/>
        <c:lblAlgn val="ctr"/>
        <c:lblOffset val="100"/>
        <c:noMultiLvlLbl val="0"/>
      </c:catAx>
      <c:valAx>
        <c:axId val="661419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90335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Project.xlsx]Chart!Sales By Product Line</c:name>
    <c:fmtId val="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t>Sales  By Product Line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Chart!$A$53:$A$60</c:f>
              <c:strCache>
                <c:ptCount val="7"/>
                <c:pt idx="0">
                  <c:v>Classic Cars</c:v>
                </c:pt>
                <c:pt idx="1">
                  <c:v>Vintage Cars</c:v>
                </c:pt>
                <c:pt idx="2">
                  <c:v>Motorcycles</c:v>
                </c:pt>
                <c:pt idx="3">
                  <c:v>Planes</c:v>
                </c:pt>
                <c:pt idx="4">
                  <c:v>Trucks and Buses</c:v>
                </c:pt>
                <c:pt idx="5">
                  <c:v>Ships</c:v>
                </c:pt>
                <c:pt idx="6">
                  <c:v>Trains</c:v>
                </c:pt>
              </c:strCache>
            </c:strRef>
          </c:cat>
          <c:val>
            <c:numRef>
              <c:f>Chart!$B$53:$B$60</c:f>
              <c:numCache>
                <c:formatCode>General</c:formatCode>
                <c:ptCount val="7"/>
                <c:pt idx="0">
                  <c:v>1190415.6899999995</c:v>
                </c:pt>
                <c:pt idx="1">
                  <c:v>800256.11999999976</c:v>
                </c:pt>
                <c:pt idx="2">
                  <c:v>478310.06000000017</c:v>
                </c:pt>
                <c:pt idx="3">
                  <c:v>447072.62999999989</c:v>
                </c:pt>
                <c:pt idx="4">
                  <c:v>439533.1700000001</c:v>
                </c:pt>
                <c:pt idx="5">
                  <c:v>274675.51</c:v>
                </c:pt>
                <c:pt idx="6">
                  <c:v>76329.64</c:v>
                </c:pt>
              </c:numCache>
            </c:numRef>
          </c:val>
          <c:extLst>
            <c:ext xmlns:c16="http://schemas.microsoft.com/office/drawing/2014/chart" uri="{C3380CC4-5D6E-409C-BE32-E72D297353CC}">
              <c16:uniqueId val="{00000000-D39C-44A3-BF9E-827BE3446C86}"/>
            </c:ext>
          </c:extLst>
        </c:ser>
        <c:dLbls>
          <c:dLblPos val="outEnd"/>
          <c:showLegendKey val="0"/>
          <c:showVal val="1"/>
          <c:showCatName val="0"/>
          <c:showSerName val="0"/>
          <c:showPercent val="0"/>
          <c:showBubbleSize val="0"/>
        </c:dLbls>
        <c:gapWidth val="182"/>
        <c:axId val="627884335"/>
        <c:axId val="661456015"/>
      </c:barChart>
      <c:catAx>
        <c:axId val="62788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661456015"/>
        <c:crosses val="autoZero"/>
        <c:auto val="1"/>
        <c:lblAlgn val="ctr"/>
        <c:lblOffset val="100"/>
        <c:noMultiLvlLbl val="0"/>
      </c:catAx>
      <c:valAx>
        <c:axId val="661456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62788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Project.xlsx]Chart!Customers by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Chart!$B$64</c:f>
              <c:strCache>
                <c:ptCount val="1"/>
                <c:pt idx="0">
                  <c:v>Total</c:v>
                </c:pt>
              </c:strCache>
            </c:strRef>
          </c:tx>
          <c:spPr>
            <a:solidFill>
              <a:schemeClr val="accent1"/>
            </a:solidFill>
            <a:ln>
              <a:noFill/>
            </a:ln>
            <a:effectLst/>
          </c:spPr>
          <c:invertIfNegative val="0"/>
          <c:cat>
            <c:strRef>
              <c:f>Chart!$A$65:$A$75</c:f>
              <c:strCache>
                <c:ptCount val="10"/>
                <c:pt idx="0">
                  <c:v>Mini Gifts Distributors Ltd.</c:v>
                </c:pt>
                <c:pt idx="1">
                  <c:v>Australian Collectors, Co.</c:v>
                </c:pt>
                <c:pt idx="2">
                  <c:v>Muscle Machine Inc</c:v>
                </c:pt>
                <c:pt idx="3">
                  <c:v>Land of Toys Inc.</c:v>
                </c:pt>
                <c:pt idx="4">
                  <c:v>The Sharp Gifts Warehouse</c:v>
                </c:pt>
                <c:pt idx="5">
                  <c:v>Souveniers And Things Co.</c:v>
                </c:pt>
                <c:pt idx="6">
                  <c:v>Anna's Decorations, Ltd</c:v>
                </c:pt>
                <c:pt idx="7">
                  <c:v>Technics Stores Inc.</c:v>
                </c:pt>
                <c:pt idx="8">
                  <c:v>Online Diecast Creations Co.</c:v>
                </c:pt>
                <c:pt idx="9">
                  <c:v>Tokyo Collectables, Ltd</c:v>
                </c:pt>
              </c:strCache>
            </c:strRef>
          </c:cat>
          <c:val>
            <c:numRef>
              <c:f>Chart!$B$65:$B$75</c:f>
              <c:numCache>
                <c:formatCode>General</c:formatCode>
                <c:ptCount val="10"/>
                <c:pt idx="0">
                  <c:v>530587.19000000018</c:v>
                </c:pt>
                <c:pt idx="1">
                  <c:v>164575.87000000002</c:v>
                </c:pt>
                <c:pt idx="2">
                  <c:v>151782.03999999992</c:v>
                </c:pt>
                <c:pt idx="3">
                  <c:v>138798.17000000001</c:v>
                </c:pt>
                <c:pt idx="4">
                  <c:v>136383.03999999998</c:v>
                </c:pt>
                <c:pt idx="5">
                  <c:v>133223.38</c:v>
                </c:pt>
                <c:pt idx="6">
                  <c:v>121260.40999999999</c:v>
                </c:pt>
                <c:pt idx="7">
                  <c:v>102489.13</c:v>
                </c:pt>
                <c:pt idx="8">
                  <c:v>101428.49999999999</c:v>
                </c:pt>
                <c:pt idx="9">
                  <c:v>97456.039999999964</c:v>
                </c:pt>
              </c:numCache>
            </c:numRef>
          </c:val>
          <c:extLst>
            <c:ext xmlns:c16="http://schemas.microsoft.com/office/drawing/2014/chart" uri="{C3380CC4-5D6E-409C-BE32-E72D297353CC}">
              <c16:uniqueId val="{00000000-4892-44BC-B020-313FCB9C68B0}"/>
            </c:ext>
          </c:extLst>
        </c:ser>
        <c:dLbls>
          <c:showLegendKey val="0"/>
          <c:showVal val="0"/>
          <c:showCatName val="0"/>
          <c:showSerName val="0"/>
          <c:showPercent val="0"/>
          <c:showBubbleSize val="0"/>
        </c:dLbls>
        <c:gapWidth val="182"/>
        <c:axId val="627916815"/>
        <c:axId val="335564175"/>
      </c:barChart>
      <c:catAx>
        <c:axId val="62791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564175"/>
        <c:crosses val="autoZero"/>
        <c:auto val="1"/>
        <c:lblAlgn val="ctr"/>
        <c:lblOffset val="100"/>
        <c:noMultiLvlLbl val="0"/>
      </c:catAx>
      <c:valAx>
        <c:axId val="335564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1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Project.xlsx]Chart!Sales by Country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Chart!$B$78</c:f>
              <c:strCache>
                <c:ptCount val="1"/>
                <c:pt idx="0">
                  <c:v>Total</c:v>
                </c:pt>
              </c:strCache>
            </c:strRef>
          </c:tx>
          <c:spPr>
            <a:solidFill>
              <a:schemeClr val="accent1"/>
            </a:solidFill>
            <a:ln>
              <a:noFill/>
            </a:ln>
            <a:effectLst/>
          </c:spPr>
          <c:invertIfNegative val="0"/>
          <c:cat>
            <c:strRef>
              <c:f>Chart!$A$79:$A$84</c:f>
              <c:strCache>
                <c:ptCount val="5"/>
                <c:pt idx="0">
                  <c:v>USA</c:v>
                </c:pt>
                <c:pt idx="1">
                  <c:v>Australia</c:v>
                </c:pt>
                <c:pt idx="2">
                  <c:v>Canada</c:v>
                </c:pt>
                <c:pt idx="3">
                  <c:v>Japan</c:v>
                </c:pt>
                <c:pt idx="4">
                  <c:v>UK</c:v>
                </c:pt>
              </c:strCache>
            </c:strRef>
          </c:cat>
          <c:val>
            <c:numRef>
              <c:f>Chart!$B$79:$B$84</c:f>
              <c:numCache>
                <c:formatCode>General</c:formatCode>
                <c:ptCount val="5"/>
                <c:pt idx="0">
                  <c:v>2765243.1999999993</c:v>
                </c:pt>
                <c:pt idx="1">
                  <c:v>521598.45999999985</c:v>
                </c:pt>
                <c:pt idx="2">
                  <c:v>193504.34000000003</c:v>
                </c:pt>
                <c:pt idx="3">
                  <c:v>153076.68999999994</c:v>
                </c:pt>
                <c:pt idx="4">
                  <c:v>73170.12999999999</c:v>
                </c:pt>
              </c:numCache>
            </c:numRef>
          </c:val>
          <c:extLst>
            <c:ext xmlns:c16="http://schemas.microsoft.com/office/drawing/2014/chart" uri="{C3380CC4-5D6E-409C-BE32-E72D297353CC}">
              <c16:uniqueId val="{00000000-DD7C-4CF0-86D5-1131BA610085}"/>
            </c:ext>
          </c:extLst>
        </c:ser>
        <c:dLbls>
          <c:showLegendKey val="0"/>
          <c:showVal val="0"/>
          <c:showCatName val="0"/>
          <c:showSerName val="0"/>
          <c:showPercent val="0"/>
          <c:showBubbleSize val="0"/>
        </c:dLbls>
        <c:gapWidth val="219"/>
        <c:overlap val="-27"/>
        <c:axId val="627940943"/>
        <c:axId val="335555535"/>
      </c:barChart>
      <c:catAx>
        <c:axId val="62794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555535"/>
        <c:crosses val="autoZero"/>
        <c:auto val="1"/>
        <c:lblAlgn val="ctr"/>
        <c:lblOffset val="100"/>
        <c:noMultiLvlLbl val="0"/>
      </c:catAx>
      <c:valAx>
        <c:axId val="33555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4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Chart!$B$89</c:f>
              <c:strCache>
                <c:ptCount val="1"/>
                <c:pt idx="0">
                  <c:v>Total</c:v>
                </c:pt>
              </c:strCache>
            </c:strRef>
          </c:tx>
          <c:spPr>
            <a:solidFill>
              <a:schemeClr val="accent1"/>
            </a:solidFill>
            <a:ln>
              <a:noFill/>
            </a:ln>
            <a:effectLst/>
          </c:spPr>
          <c:invertIfNegative val="0"/>
          <c:cat>
            <c:strRef>
              <c:f>Chart!$A$90:$A$96</c:f>
              <c:strCache>
                <c:ptCount val="6"/>
                <c:pt idx="0">
                  <c:v>Cancelled</c:v>
                </c:pt>
                <c:pt idx="1">
                  <c:v>Disputed</c:v>
                </c:pt>
                <c:pt idx="2">
                  <c:v>In Process</c:v>
                </c:pt>
                <c:pt idx="3">
                  <c:v>On Hold</c:v>
                </c:pt>
                <c:pt idx="4">
                  <c:v>Resolved</c:v>
                </c:pt>
                <c:pt idx="5">
                  <c:v>Shipped</c:v>
                </c:pt>
              </c:strCache>
            </c:strRef>
          </c:cat>
          <c:val>
            <c:numRef>
              <c:f>Chart!$B$90:$B$96</c:f>
              <c:numCache>
                <c:formatCode>General</c:formatCode>
                <c:ptCount val="6"/>
                <c:pt idx="0">
                  <c:v>143472</c:v>
                </c:pt>
                <c:pt idx="1">
                  <c:v>52075</c:v>
                </c:pt>
                <c:pt idx="2">
                  <c:v>177146</c:v>
                </c:pt>
                <c:pt idx="3">
                  <c:v>395492</c:v>
                </c:pt>
                <c:pt idx="4">
                  <c:v>134771</c:v>
                </c:pt>
                <c:pt idx="5">
                  <c:v>12038216</c:v>
                </c:pt>
              </c:numCache>
            </c:numRef>
          </c:val>
          <c:extLst>
            <c:ext xmlns:c16="http://schemas.microsoft.com/office/drawing/2014/chart" uri="{C3380CC4-5D6E-409C-BE32-E72D297353CC}">
              <c16:uniqueId val="{00000000-D5D9-4A4D-9583-6F2312922537}"/>
            </c:ext>
          </c:extLst>
        </c:ser>
        <c:dLbls>
          <c:showLegendKey val="0"/>
          <c:showVal val="0"/>
          <c:showCatName val="0"/>
          <c:showSerName val="0"/>
          <c:showPercent val="0"/>
          <c:showBubbleSize val="0"/>
        </c:dLbls>
        <c:gapWidth val="219"/>
        <c:overlap val="-27"/>
        <c:axId val="515847328"/>
        <c:axId val="441894831"/>
      </c:barChart>
      <c:catAx>
        <c:axId val="51584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94831"/>
        <c:crosses val="autoZero"/>
        <c:auto val="1"/>
        <c:lblAlgn val="ctr"/>
        <c:lblOffset val="100"/>
        <c:noMultiLvlLbl val="0"/>
      </c:catAx>
      <c:valAx>
        <c:axId val="44189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4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Project.xlsx]Chart!Sales by Deal Size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Deal Size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C9-436B-B9EF-BCA6D2FDB2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C9-436B-B9EF-BCA6D2FDB2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C9-436B-B9EF-BCA6D2FDB27A}"/>
              </c:ext>
            </c:extLst>
          </c:dPt>
          <c:cat>
            <c:strRef>
              <c:f>Chart!$A$103:$A$106</c:f>
              <c:strCache>
                <c:ptCount val="3"/>
                <c:pt idx="0">
                  <c:v>Large</c:v>
                </c:pt>
                <c:pt idx="1">
                  <c:v>Medium</c:v>
                </c:pt>
                <c:pt idx="2">
                  <c:v>Small</c:v>
                </c:pt>
              </c:strCache>
            </c:strRef>
          </c:cat>
          <c:val>
            <c:numRef>
              <c:f>Chart!$B$103:$B$106</c:f>
              <c:numCache>
                <c:formatCode>General</c:formatCode>
                <c:ptCount val="3"/>
                <c:pt idx="0">
                  <c:v>327209.75</c:v>
                </c:pt>
                <c:pt idx="1">
                  <c:v>2221494.2900000014</c:v>
                </c:pt>
                <c:pt idx="2">
                  <c:v>1157888.7800000003</c:v>
                </c:pt>
              </c:numCache>
            </c:numRef>
          </c:val>
          <c:extLst>
            <c:ext xmlns:c16="http://schemas.microsoft.com/office/drawing/2014/chart" uri="{C3380CC4-5D6E-409C-BE32-E72D297353CC}">
              <c16:uniqueId val="{00000000-34CD-46AA-8CA4-49BC50A96B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Project.xlsx]Chart!Sales by Territory</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Chart!$B$115</c:f>
              <c:strCache>
                <c:ptCount val="1"/>
                <c:pt idx="0">
                  <c:v>Total</c:v>
                </c:pt>
              </c:strCache>
            </c:strRef>
          </c:tx>
          <c:spPr>
            <a:solidFill>
              <a:schemeClr val="accent1"/>
            </a:solidFill>
            <a:ln>
              <a:noFill/>
            </a:ln>
            <a:effectLst/>
          </c:spPr>
          <c:cat>
            <c:strRef>
              <c:f>Chart!$A$116:$A$120</c:f>
              <c:strCache>
                <c:ptCount val="4"/>
                <c:pt idx="0">
                  <c:v>APAC</c:v>
                </c:pt>
                <c:pt idx="1">
                  <c:v>EMEA</c:v>
                </c:pt>
                <c:pt idx="2">
                  <c:v>Japan</c:v>
                </c:pt>
                <c:pt idx="3">
                  <c:v>NA</c:v>
                </c:pt>
              </c:strCache>
            </c:strRef>
          </c:cat>
          <c:val>
            <c:numRef>
              <c:f>Chart!$B$116:$B$120</c:f>
              <c:numCache>
                <c:formatCode>General</c:formatCode>
                <c:ptCount val="4"/>
                <c:pt idx="0">
                  <c:v>521598.45999999985</c:v>
                </c:pt>
                <c:pt idx="1">
                  <c:v>73170.12999999999</c:v>
                </c:pt>
                <c:pt idx="2">
                  <c:v>153076.68999999994</c:v>
                </c:pt>
                <c:pt idx="3">
                  <c:v>2958747.5399999986</c:v>
                </c:pt>
              </c:numCache>
            </c:numRef>
          </c:val>
          <c:extLst>
            <c:ext xmlns:c16="http://schemas.microsoft.com/office/drawing/2014/chart" uri="{C3380CC4-5D6E-409C-BE32-E72D297353CC}">
              <c16:uniqueId val="{00000000-19AB-46FA-99E7-E9338A89F82A}"/>
            </c:ext>
          </c:extLst>
        </c:ser>
        <c:dLbls>
          <c:showLegendKey val="0"/>
          <c:showVal val="0"/>
          <c:showCatName val="0"/>
          <c:showSerName val="0"/>
          <c:showPercent val="0"/>
          <c:showBubbleSize val="0"/>
        </c:dLbls>
        <c:axId val="927806064"/>
        <c:axId val="661472335"/>
      </c:areaChart>
      <c:catAx>
        <c:axId val="927806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72335"/>
        <c:crosses val="autoZero"/>
        <c:auto val="1"/>
        <c:lblAlgn val="ctr"/>
        <c:lblOffset val="100"/>
        <c:noMultiLvlLbl val="0"/>
      </c:catAx>
      <c:valAx>
        <c:axId val="66147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060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Project.xlsx]Chart!Quarterly Sales</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Quarterly</a:t>
            </a:r>
            <a:r>
              <a:rPr lang="en-US" baseline="0">
                <a:solidFill>
                  <a:schemeClr val="bg1"/>
                </a:solidFill>
              </a:rPr>
              <a:t>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C20A8D">
              <a:alpha val="74000"/>
            </a:srgbClr>
          </a:solidFill>
          <a:ln>
            <a:solidFill>
              <a:schemeClr val="bg1">
                <a:lumMod val="95000"/>
              </a:schemeClr>
            </a:solidFill>
          </a:ln>
          <a:effectLst>
            <a:outerShdw blurRad="254000" sx="102000" sy="102000" algn="ctr" rotWithShape="0">
              <a:prstClr val="black">
                <a:alpha val="20000"/>
              </a:prstClr>
            </a:outerShdw>
          </a:effectLst>
          <a:sp3d>
            <a:contourClr>
              <a:schemeClr val="bg1">
                <a:lumMod val="95000"/>
              </a:schemeClr>
            </a:contourClr>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20A8D">
              <a:alpha val="74000"/>
            </a:srgbClr>
          </a:solidFill>
          <a:ln>
            <a:solidFill>
              <a:schemeClr val="bg1">
                <a:lumMod val="95000"/>
              </a:schemeClr>
            </a:solidFill>
          </a:ln>
          <a:effectLst>
            <a:outerShdw blurRad="254000" sx="102000" sy="102000" algn="ctr" rotWithShape="0">
              <a:prstClr val="black">
                <a:alpha val="20000"/>
              </a:prstClr>
            </a:outerShdw>
          </a:effectLst>
          <a:sp3d>
            <a:contourClr>
              <a:schemeClr val="bg1">
                <a:lumMod val="95000"/>
              </a:schemeClr>
            </a:contourClr>
          </a:sp3d>
        </c:spPr>
      </c:pivotFmt>
      <c:pivotFmt>
        <c:idx val="2"/>
        <c:spPr>
          <a:solidFill>
            <a:srgbClr val="C20A8D">
              <a:alpha val="74000"/>
            </a:srgbClr>
          </a:solidFill>
          <a:ln>
            <a:solidFill>
              <a:schemeClr val="bg1">
                <a:lumMod val="95000"/>
              </a:schemeClr>
            </a:solidFill>
          </a:ln>
          <a:effectLst>
            <a:outerShdw blurRad="254000" sx="102000" sy="102000" algn="ctr" rotWithShape="0">
              <a:prstClr val="black">
                <a:alpha val="20000"/>
              </a:prstClr>
            </a:outerShdw>
          </a:effectLst>
          <a:sp3d>
            <a:contourClr>
              <a:schemeClr val="bg1">
                <a:lumMod val="95000"/>
              </a:schemeClr>
            </a:contourClr>
          </a:sp3d>
        </c:spPr>
      </c:pivotFmt>
      <c:pivotFmt>
        <c:idx val="3"/>
        <c:spPr>
          <a:solidFill>
            <a:srgbClr val="C20A8D">
              <a:alpha val="74000"/>
            </a:srgbClr>
          </a:solidFill>
          <a:ln>
            <a:solidFill>
              <a:schemeClr val="bg1">
                <a:lumMod val="95000"/>
              </a:schemeClr>
            </a:solidFill>
          </a:ln>
          <a:effectLst>
            <a:outerShdw blurRad="254000" sx="102000" sy="102000" algn="ctr" rotWithShape="0">
              <a:prstClr val="black">
                <a:alpha val="20000"/>
              </a:prstClr>
            </a:outerShdw>
          </a:effectLst>
          <a:sp3d>
            <a:contourClr>
              <a:schemeClr val="bg1">
                <a:lumMod val="95000"/>
              </a:schemeClr>
            </a:contourClr>
          </a:sp3d>
        </c:spPr>
      </c:pivotFmt>
      <c:pivotFmt>
        <c:idx val="4"/>
        <c:spPr>
          <a:solidFill>
            <a:srgbClr val="C20A8D">
              <a:alpha val="74000"/>
            </a:srgbClr>
          </a:solidFill>
          <a:ln>
            <a:solidFill>
              <a:schemeClr val="bg1">
                <a:lumMod val="95000"/>
              </a:schemeClr>
            </a:solidFill>
          </a:ln>
          <a:effectLst>
            <a:outerShdw blurRad="254000" sx="102000" sy="102000" algn="ctr" rotWithShape="0">
              <a:prstClr val="black">
                <a:alpha val="20000"/>
              </a:prstClr>
            </a:outerShdw>
          </a:effectLst>
          <a:sp3d>
            <a:contourClr>
              <a:schemeClr val="bg1">
                <a:lumMod val="95000"/>
              </a:schemeClr>
            </a:contourClr>
          </a:sp3d>
        </c:spPr>
      </c:pivotFmt>
    </c:pivotFmts>
    <c:view3D>
      <c:rotX val="50"/>
      <c:rotY val="23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Chart!$B$125</c:f>
              <c:strCache>
                <c:ptCount val="1"/>
                <c:pt idx="0">
                  <c:v>Total</c:v>
                </c:pt>
              </c:strCache>
            </c:strRef>
          </c:tx>
          <c:spPr>
            <a:solidFill>
              <a:srgbClr val="C20A8D">
                <a:alpha val="74000"/>
              </a:srgbClr>
            </a:solidFill>
            <a:ln>
              <a:solidFill>
                <a:schemeClr val="bg1">
                  <a:lumMod val="95000"/>
                </a:schemeClr>
              </a:solidFill>
            </a:ln>
          </c:spPr>
          <c:explosion val="23"/>
          <c:dPt>
            <c:idx val="0"/>
            <c:bubble3D val="0"/>
            <c:spPr>
              <a:solidFill>
                <a:srgbClr val="C20A8D">
                  <a:alpha val="74000"/>
                </a:srgbClr>
              </a:solidFill>
              <a:ln>
                <a:solidFill>
                  <a:schemeClr val="bg1">
                    <a:lumMod val="95000"/>
                  </a:schemeClr>
                </a:solidFill>
              </a:ln>
              <a:effectLst>
                <a:outerShdw blurRad="254000" sx="102000" sy="102000" algn="ctr" rotWithShape="0">
                  <a:prstClr val="black">
                    <a:alpha val="20000"/>
                  </a:prstClr>
                </a:outerShdw>
              </a:effectLst>
              <a:sp3d>
                <a:contourClr>
                  <a:schemeClr val="bg1">
                    <a:lumMod val="95000"/>
                  </a:schemeClr>
                </a:contourClr>
              </a:sp3d>
            </c:spPr>
            <c:extLst>
              <c:ext xmlns:c16="http://schemas.microsoft.com/office/drawing/2014/chart" uri="{C3380CC4-5D6E-409C-BE32-E72D297353CC}">
                <c16:uniqueId val="{00000001-51E5-47A3-B834-42450BDC6DEA}"/>
              </c:ext>
            </c:extLst>
          </c:dPt>
          <c:dPt>
            <c:idx val="1"/>
            <c:bubble3D val="0"/>
            <c:spPr>
              <a:solidFill>
                <a:srgbClr val="C20A8D">
                  <a:alpha val="74000"/>
                </a:srgbClr>
              </a:solidFill>
              <a:ln>
                <a:solidFill>
                  <a:schemeClr val="bg1">
                    <a:lumMod val="95000"/>
                  </a:schemeClr>
                </a:solidFill>
              </a:ln>
              <a:effectLst>
                <a:outerShdw blurRad="254000" sx="102000" sy="102000" algn="ctr" rotWithShape="0">
                  <a:prstClr val="black">
                    <a:alpha val="20000"/>
                  </a:prstClr>
                </a:outerShdw>
              </a:effectLst>
              <a:sp3d>
                <a:contourClr>
                  <a:schemeClr val="bg1">
                    <a:lumMod val="95000"/>
                  </a:schemeClr>
                </a:contourClr>
              </a:sp3d>
            </c:spPr>
            <c:extLst>
              <c:ext xmlns:c16="http://schemas.microsoft.com/office/drawing/2014/chart" uri="{C3380CC4-5D6E-409C-BE32-E72D297353CC}">
                <c16:uniqueId val="{00000003-51E5-47A3-B834-42450BDC6DEA}"/>
              </c:ext>
            </c:extLst>
          </c:dPt>
          <c:dPt>
            <c:idx val="2"/>
            <c:bubble3D val="0"/>
            <c:spPr>
              <a:solidFill>
                <a:srgbClr val="C20A8D">
                  <a:alpha val="74000"/>
                </a:srgbClr>
              </a:solidFill>
              <a:ln>
                <a:solidFill>
                  <a:schemeClr val="bg1">
                    <a:lumMod val="95000"/>
                  </a:schemeClr>
                </a:solidFill>
              </a:ln>
              <a:effectLst>
                <a:outerShdw blurRad="254000" sx="102000" sy="102000" algn="ctr" rotWithShape="0">
                  <a:prstClr val="black">
                    <a:alpha val="20000"/>
                  </a:prstClr>
                </a:outerShdw>
              </a:effectLst>
              <a:sp3d>
                <a:contourClr>
                  <a:schemeClr val="bg1">
                    <a:lumMod val="95000"/>
                  </a:schemeClr>
                </a:contourClr>
              </a:sp3d>
            </c:spPr>
            <c:extLst>
              <c:ext xmlns:c16="http://schemas.microsoft.com/office/drawing/2014/chart" uri="{C3380CC4-5D6E-409C-BE32-E72D297353CC}">
                <c16:uniqueId val="{00000005-51E5-47A3-B834-42450BDC6DEA}"/>
              </c:ext>
            </c:extLst>
          </c:dPt>
          <c:dPt>
            <c:idx val="3"/>
            <c:bubble3D val="0"/>
            <c:spPr>
              <a:solidFill>
                <a:srgbClr val="C20A8D">
                  <a:alpha val="74000"/>
                </a:srgbClr>
              </a:solidFill>
              <a:ln>
                <a:solidFill>
                  <a:schemeClr val="bg1">
                    <a:lumMod val="95000"/>
                  </a:schemeClr>
                </a:solidFill>
              </a:ln>
              <a:effectLst>
                <a:outerShdw blurRad="254000" sx="102000" sy="102000" algn="ctr" rotWithShape="0">
                  <a:prstClr val="black">
                    <a:alpha val="20000"/>
                  </a:prstClr>
                </a:outerShdw>
              </a:effectLst>
              <a:sp3d>
                <a:contourClr>
                  <a:schemeClr val="bg1">
                    <a:lumMod val="95000"/>
                  </a:schemeClr>
                </a:contourClr>
              </a:sp3d>
            </c:spPr>
            <c:extLst>
              <c:ext xmlns:c16="http://schemas.microsoft.com/office/drawing/2014/chart" uri="{C3380CC4-5D6E-409C-BE32-E72D297353CC}">
                <c16:uniqueId val="{00000007-51E5-47A3-B834-42450BDC6DE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Chart!$A$126:$A$130</c:f>
              <c:strCache>
                <c:ptCount val="4"/>
                <c:pt idx="0">
                  <c:v>1</c:v>
                </c:pt>
                <c:pt idx="1">
                  <c:v>2</c:v>
                </c:pt>
                <c:pt idx="2">
                  <c:v>3</c:v>
                </c:pt>
                <c:pt idx="3">
                  <c:v>4</c:v>
                </c:pt>
              </c:strCache>
            </c:strRef>
          </c:cat>
          <c:val>
            <c:numRef>
              <c:f>Chart!$B$126:$B$130</c:f>
              <c:numCache>
                <c:formatCode>General</c:formatCode>
                <c:ptCount val="4"/>
                <c:pt idx="0">
                  <c:v>744955.86000000034</c:v>
                </c:pt>
                <c:pt idx="1">
                  <c:v>790482.73999999964</c:v>
                </c:pt>
                <c:pt idx="2">
                  <c:v>770819.83000000019</c:v>
                </c:pt>
                <c:pt idx="3">
                  <c:v>1400334.3900000004</c:v>
                </c:pt>
              </c:numCache>
            </c:numRef>
          </c:val>
          <c:extLst>
            <c:ext xmlns:c16="http://schemas.microsoft.com/office/drawing/2014/chart" uri="{C3380CC4-5D6E-409C-BE32-E72D297353CC}">
              <c16:uniqueId val="{00000000-9AAE-4781-907A-586BEC630453}"/>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445802901432562"/>
          <c:y val="7.7825342425815708E-2"/>
          <c:w val="0.10546595716806094"/>
          <c:h val="0.50059778453540971"/>
        </c:manualLayout>
      </c:layout>
      <c:overlay val="0"/>
      <c:spPr>
        <a:solidFill>
          <a:schemeClr val="tx1"/>
        </a:solidFill>
        <a:ln>
          <a:solidFill>
            <a:schemeClr val="accent1"/>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dk1">
          <a:lumMod val="25000"/>
          <a:lumOff val="75000"/>
        </a:schemeClr>
      </a:solidFill>
      <a:round/>
    </a:ln>
    <a:effectLst>
      <a:glow rad="533400">
        <a:srgbClr val="C20A8D">
          <a:alpha val="57000"/>
        </a:srgbClr>
      </a:glow>
      <a:outerShdw dir="21540000" sx="1000" sy="1000" algn="ctr" rotWithShape="0">
        <a:srgbClr val="000000"/>
      </a:outerShdw>
      <a:softEdge rad="31750"/>
    </a:effectLst>
    <a:scene3d>
      <a:camera prst="orthographicFront"/>
      <a:lightRig rig="threePt" dir="t"/>
    </a:scene3d>
    <a:sp3d prstMaterial="matte"/>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Order Performance Excel-Final Project.xlsx]Chart!Monthly_Sales Trend</c:name>
    <c:fmtId val="16"/>
  </c:pivotSource>
  <c:chart>
    <c:title>
      <c:tx>
        <c:rich>
          <a:bodyPr rot="0" spcFirstLastPara="1" vertOverflow="ellipsis" vert="horz" wrap="square" anchor="ctr" anchorCtr="1"/>
          <a:lstStyle/>
          <a:p>
            <a:pPr>
              <a:defRPr lang="en-US" sz="2000" b="1" i="0" u="none" strike="noStrike" kern="1200" spc="0" baseline="0">
                <a:solidFill>
                  <a:schemeClr val="bg1"/>
                </a:solidFill>
                <a:latin typeface="+mn-lt"/>
                <a:ea typeface="+mn-ea"/>
                <a:cs typeface="+mn-cs"/>
              </a:defRPr>
            </a:pPr>
            <a:r>
              <a:rPr lang="en-US" sz="2000" b="1">
                <a:solidFill>
                  <a:schemeClr val="bg1"/>
                </a:solidFill>
              </a:rPr>
              <a:t>Monthly Sales Trend</a:t>
            </a:r>
          </a:p>
        </c:rich>
      </c:tx>
      <c:overlay val="0"/>
      <c:spPr>
        <a:gradFill>
          <a:gsLst>
            <a:gs pos="0">
              <a:srgbClr val="6E0650"/>
            </a:gs>
            <a:gs pos="100000">
              <a:srgbClr val="FA94E9"/>
            </a:gs>
            <a:gs pos="100000">
              <a:srgbClr val="F5CFF3"/>
            </a:gs>
          </a:gsLst>
          <a:lin ang="5400000" scaled="1"/>
        </a:gradFill>
        <a:ln>
          <a:noFill/>
        </a:ln>
        <a:effectLst/>
      </c:spPr>
      <c:txPr>
        <a:bodyPr rot="0" spcFirstLastPara="1" vertOverflow="ellipsis" vert="horz" wrap="square" anchor="ctr" anchorCtr="1"/>
        <a:lstStyle/>
        <a:p>
          <a:pPr>
            <a:defRPr lang="en-US"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BC087C"/>
                </a:gs>
                <a:gs pos="74000">
                  <a:srgbClr val="F977CB"/>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Chart!$B$3</c:f>
              <c:strCache>
                <c:ptCount val="1"/>
                <c:pt idx="0">
                  <c:v>Total</c:v>
                </c:pt>
              </c:strCache>
            </c:strRef>
          </c:tx>
          <c:spPr>
            <a:ln w="28575" cap="rnd">
              <a:gradFill>
                <a:gsLst>
                  <a:gs pos="0">
                    <a:srgbClr val="BC087C"/>
                  </a:gs>
                  <a:gs pos="74000">
                    <a:srgbClr val="F977CB"/>
                  </a:gs>
                  <a:gs pos="83000">
                    <a:schemeClr val="accent1">
                      <a:lumMod val="45000"/>
                      <a:lumOff val="55000"/>
                    </a:schemeClr>
                  </a:gs>
                  <a:gs pos="100000">
                    <a:schemeClr val="accent1">
                      <a:lumMod val="30000"/>
                      <a:lumOff val="70000"/>
                    </a:schemeClr>
                  </a:gs>
                </a:gsLst>
                <a:lin ang="5400000" scaled="1"/>
              </a:gradFill>
              <a:round/>
            </a:ln>
            <a:effectLst/>
          </c:spPr>
          <c:marker>
            <c:symbol val="none"/>
          </c:marker>
          <c:cat>
            <c:multiLvlStrRef>
              <c:f>Chart!$A$4:$A$49</c:f>
              <c:multiLvlStrCache>
                <c:ptCount val="33"/>
                <c:lvl>
                  <c:pt idx="0">
                    <c:v>2003</c:v>
                  </c:pt>
                  <c:pt idx="1">
                    <c:v>2004</c:v>
                  </c:pt>
                  <c:pt idx="2">
                    <c:v>2005</c:v>
                  </c:pt>
                  <c:pt idx="3">
                    <c:v>2003</c:v>
                  </c:pt>
                  <c:pt idx="4">
                    <c:v>2004</c:v>
                  </c:pt>
                  <c:pt idx="5">
                    <c:v>2005</c:v>
                  </c:pt>
                  <c:pt idx="6">
                    <c:v>2003</c:v>
                  </c:pt>
                  <c:pt idx="7">
                    <c:v>2004</c:v>
                  </c:pt>
                  <c:pt idx="8">
                    <c:v>2005</c:v>
                  </c:pt>
                  <c:pt idx="9">
                    <c:v>2003</c:v>
                  </c:pt>
                  <c:pt idx="10">
                    <c:v>2004</c:v>
                  </c:pt>
                  <c:pt idx="11">
                    <c:v>2005</c:v>
                  </c:pt>
                  <c:pt idx="12">
                    <c:v>2003</c:v>
                  </c:pt>
                  <c:pt idx="13">
                    <c:v>2004</c:v>
                  </c:pt>
                  <c:pt idx="14">
                    <c:v>2005</c:v>
                  </c:pt>
                  <c:pt idx="15">
                    <c:v>2003</c:v>
                  </c:pt>
                  <c:pt idx="16">
                    <c:v>2004</c:v>
                  </c:pt>
                  <c:pt idx="17">
                    <c:v>2005</c:v>
                  </c:pt>
                  <c:pt idx="18">
                    <c:v>2003</c:v>
                  </c:pt>
                  <c:pt idx="19">
                    <c:v>2004</c:v>
                  </c:pt>
                  <c:pt idx="20">
                    <c:v>2005</c:v>
                  </c:pt>
                  <c:pt idx="21">
                    <c:v>2003</c:v>
                  </c:pt>
                  <c:pt idx="22">
                    <c:v>2004</c:v>
                  </c:pt>
                  <c:pt idx="23">
                    <c:v>2005</c:v>
                  </c:pt>
                  <c:pt idx="24">
                    <c:v>2003</c:v>
                  </c:pt>
                  <c:pt idx="25">
                    <c:v>2005</c:v>
                  </c:pt>
                  <c:pt idx="26">
                    <c:v>2003</c:v>
                  </c:pt>
                  <c:pt idx="27">
                    <c:v>2004</c:v>
                  </c:pt>
                  <c:pt idx="28">
                    <c:v>2003</c:v>
                  </c:pt>
                  <c:pt idx="29">
                    <c:v>2004</c:v>
                  </c:pt>
                  <c:pt idx="30">
                    <c:v>2003</c:v>
                  </c:pt>
                  <c:pt idx="31">
                    <c:v>2004</c:v>
                  </c:pt>
                  <c:pt idx="32">
                    <c:v>2005</c:v>
                  </c:pt>
                </c:lvl>
                <c:lvl>
                  <c:pt idx="0">
                    <c:v>Jan</c:v>
                  </c:pt>
                  <c:pt idx="3">
                    <c:v>Feb</c:v>
                  </c:pt>
                  <c:pt idx="6">
                    <c:v>Mar</c:v>
                  </c:pt>
                  <c:pt idx="9">
                    <c:v>Apr</c:v>
                  </c:pt>
                  <c:pt idx="12">
                    <c:v>May</c:v>
                  </c:pt>
                  <c:pt idx="15">
                    <c:v>Jun</c:v>
                  </c:pt>
                  <c:pt idx="18">
                    <c:v>Jul</c:v>
                  </c:pt>
                  <c:pt idx="21">
                    <c:v>Aug</c:v>
                  </c:pt>
                  <c:pt idx="24">
                    <c:v>Sep</c:v>
                  </c:pt>
                  <c:pt idx="26">
                    <c:v>Oct</c:v>
                  </c:pt>
                  <c:pt idx="28">
                    <c:v>Nov</c:v>
                  </c:pt>
                  <c:pt idx="30">
                    <c:v>Dec</c:v>
                  </c:pt>
                </c:lvl>
              </c:multiLvlStrCache>
            </c:multiLvlStrRef>
          </c:cat>
          <c:val>
            <c:numRef>
              <c:f>Chart!$B$4:$B$49</c:f>
              <c:numCache>
                <c:formatCode>General</c:formatCode>
                <c:ptCount val="33"/>
                <c:pt idx="0">
                  <c:v>8234.5600000000013</c:v>
                </c:pt>
                <c:pt idx="1">
                  <c:v>112641.45000000001</c:v>
                </c:pt>
                <c:pt idx="2">
                  <c:v>179235</c:v>
                </c:pt>
                <c:pt idx="3">
                  <c:v>128768.87999999999</c:v>
                </c:pt>
                <c:pt idx="4">
                  <c:v>242676.8000000001</c:v>
                </c:pt>
                <c:pt idx="5">
                  <c:v>65446.04</c:v>
                </c:pt>
                <c:pt idx="6">
                  <c:v>63436.680000000008</c:v>
                </c:pt>
                <c:pt idx="7">
                  <c:v>77752.03</c:v>
                </c:pt>
                <c:pt idx="8">
                  <c:v>100197.49</c:v>
                </c:pt>
                <c:pt idx="9">
                  <c:v>98734.51</c:v>
                </c:pt>
                <c:pt idx="10">
                  <c:v>155902.53</c:v>
                </c:pt>
                <c:pt idx="11">
                  <c:v>97572.760000000024</c:v>
                </c:pt>
                <c:pt idx="12">
                  <c:v>133429.09999999998</c:v>
                </c:pt>
                <c:pt idx="13">
                  <c:v>82029.850000000006</c:v>
                </c:pt>
                <c:pt idx="14">
                  <c:v>83592.339999999982</c:v>
                </c:pt>
                <c:pt idx="15">
                  <c:v>55352.08</c:v>
                </c:pt>
                <c:pt idx="16">
                  <c:v>140129.47999999998</c:v>
                </c:pt>
                <c:pt idx="17">
                  <c:v>44166.21</c:v>
                </c:pt>
                <c:pt idx="18">
                  <c:v>57046.22</c:v>
                </c:pt>
                <c:pt idx="19">
                  <c:v>166173.05000000008</c:v>
                </c:pt>
                <c:pt idx="20">
                  <c:v>9211.7999999999993</c:v>
                </c:pt>
                <c:pt idx="21">
                  <c:v>96444.499999999985</c:v>
                </c:pt>
                <c:pt idx="22">
                  <c:v>203667.53999999995</c:v>
                </c:pt>
                <c:pt idx="23">
                  <c:v>3500</c:v>
                </c:pt>
                <c:pt idx="24">
                  <c:v>59814.200000000004</c:v>
                </c:pt>
                <c:pt idx="25">
                  <c:v>38878.840000000004</c:v>
                </c:pt>
                <c:pt idx="26">
                  <c:v>152762.09999999995</c:v>
                </c:pt>
                <c:pt idx="27">
                  <c:v>268042.31999999989</c:v>
                </c:pt>
                <c:pt idx="28">
                  <c:v>264224.73000000004</c:v>
                </c:pt>
                <c:pt idx="29">
                  <c:v>331258.94999999995</c:v>
                </c:pt>
                <c:pt idx="30">
                  <c:v>71599.949999999983</c:v>
                </c:pt>
                <c:pt idx="31">
                  <c:v>78908.930000000008</c:v>
                </c:pt>
                <c:pt idx="32">
                  <c:v>35761.899999999994</c:v>
                </c:pt>
              </c:numCache>
            </c:numRef>
          </c:val>
          <c:smooth val="0"/>
          <c:extLst>
            <c:ext xmlns:c16="http://schemas.microsoft.com/office/drawing/2014/chart" uri="{C3380CC4-5D6E-409C-BE32-E72D297353CC}">
              <c16:uniqueId val="{00000000-2F50-4E44-AB40-F35FC60BD991}"/>
            </c:ext>
          </c:extLst>
        </c:ser>
        <c:dLbls>
          <c:showLegendKey val="0"/>
          <c:showVal val="0"/>
          <c:showCatName val="0"/>
          <c:showSerName val="0"/>
          <c:showPercent val="0"/>
          <c:showBubbleSize val="0"/>
        </c:dLbls>
        <c:smooth val="0"/>
        <c:axId val="627903359"/>
        <c:axId val="661419535"/>
      </c:lineChart>
      <c:catAx>
        <c:axId val="627903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crossAx val="661419535"/>
        <c:crosses val="autoZero"/>
        <c:auto val="1"/>
        <c:lblAlgn val="ctr"/>
        <c:lblOffset val="100"/>
        <c:noMultiLvlLbl val="0"/>
      </c:catAx>
      <c:valAx>
        <c:axId val="6614195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crossAx val="627903359"/>
        <c:crosses val="autoZero"/>
        <c:crossBetween val="between"/>
      </c:valAx>
      <c:spPr>
        <a:solidFill>
          <a:schemeClr val="tx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000"/>
        </a:schemeClr>
      </a:solidFill>
      <a:round/>
    </a:ln>
    <a:effectLst>
      <a:glow rad="25400">
        <a:schemeClr val="bg1"/>
      </a:glow>
      <a:outerShdw blurRad="1270000" dist="50800" dir="5400000" sx="110000" sy="110000" algn="ctr" rotWithShape="0">
        <a:srgbClr val="6E0650">
          <a:alpha val="50000"/>
        </a:srgbClr>
      </a:outerShdw>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Project.xlsx]Chart!Sales By Product Line</c:name>
    <c:fmtId val="6"/>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Sales  By Product Line</a:t>
            </a:r>
          </a:p>
        </c:rich>
      </c:tx>
      <c:overlay val="0"/>
      <c:spPr>
        <a:gradFill>
          <a:gsLst>
            <a:gs pos="0">
              <a:srgbClr val="6E0650"/>
            </a:gs>
            <a:gs pos="100000">
              <a:srgbClr val="FA94E9"/>
            </a:gs>
            <a:gs pos="100000">
              <a:srgbClr val="FA94E9"/>
            </a:gs>
            <a:gs pos="100000">
              <a:srgbClr val="F5CFF3"/>
            </a:gs>
          </a:gsLst>
          <a:lin ang="5400000" scaled="1"/>
        </a:grad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rgbClr val="FA94E9">
                  <a:alpha val="97000"/>
                </a:srgbClr>
              </a:gs>
              <a:gs pos="0">
                <a:srgbClr val="F50BA1"/>
              </a:gs>
            </a:gsLst>
            <a:path path="circle">
              <a:fillToRect l="50000" t="-80000" r="50000" b="180000"/>
            </a:path>
          </a:gradFill>
          <a:ln>
            <a:gradFill flip="none" rotWithShape="1">
              <a:gsLst>
                <a:gs pos="77000">
                  <a:srgbClr val="FA94E9">
                    <a:alpha val="97000"/>
                  </a:srgbClr>
                </a:gs>
                <a:gs pos="35000">
                  <a:srgbClr val="E062DA"/>
                </a:gs>
                <a:gs pos="0">
                  <a:srgbClr val="F50BA1"/>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Chart!$B$52</c:f>
              <c:strCache>
                <c:ptCount val="1"/>
                <c:pt idx="0">
                  <c:v>Total</c:v>
                </c:pt>
              </c:strCache>
            </c:strRef>
          </c:tx>
          <c:spPr>
            <a:gradFill>
              <a:gsLst>
                <a:gs pos="100000">
                  <a:srgbClr val="FA94E9">
                    <a:alpha val="97000"/>
                  </a:srgbClr>
                </a:gs>
                <a:gs pos="0">
                  <a:srgbClr val="F50BA1"/>
                </a:gs>
              </a:gsLst>
              <a:path path="circle">
                <a:fillToRect l="50000" t="-80000" r="50000" b="180000"/>
              </a:path>
            </a:gradFill>
            <a:ln>
              <a:gradFill flip="none" rotWithShape="1">
                <a:gsLst>
                  <a:gs pos="77000">
                    <a:srgbClr val="FA94E9">
                      <a:alpha val="97000"/>
                    </a:srgbClr>
                  </a:gs>
                  <a:gs pos="35000">
                    <a:srgbClr val="E062DA"/>
                  </a:gs>
                  <a:gs pos="0">
                    <a:srgbClr val="F50BA1"/>
                  </a:gs>
                </a:gsLst>
                <a:path path="circle">
                  <a:fillToRect l="50000" t="-80000" r="50000" b="180000"/>
                </a:path>
                <a:tileRect/>
              </a:grad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Chart!$A$53:$A$60</c:f>
              <c:strCache>
                <c:ptCount val="7"/>
                <c:pt idx="0">
                  <c:v>Classic Cars</c:v>
                </c:pt>
                <c:pt idx="1">
                  <c:v>Vintage Cars</c:v>
                </c:pt>
                <c:pt idx="2">
                  <c:v>Motorcycles</c:v>
                </c:pt>
                <c:pt idx="3">
                  <c:v>Planes</c:v>
                </c:pt>
                <c:pt idx="4">
                  <c:v>Trucks and Buses</c:v>
                </c:pt>
                <c:pt idx="5">
                  <c:v>Ships</c:v>
                </c:pt>
                <c:pt idx="6">
                  <c:v>Trains</c:v>
                </c:pt>
              </c:strCache>
            </c:strRef>
          </c:cat>
          <c:val>
            <c:numRef>
              <c:f>Chart!$B$53:$B$60</c:f>
              <c:numCache>
                <c:formatCode>General</c:formatCode>
                <c:ptCount val="7"/>
                <c:pt idx="0">
                  <c:v>1190415.6899999995</c:v>
                </c:pt>
                <c:pt idx="1">
                  <c:v>800256.11999999976</c:v>
                </c:pt>
                <c:pt idx="2">
                  <c:v>478310.06000000017</c:v>
                </c:pt>
                <c:pt idx="3">
                  <c:v>447072.62999999989</c:v>
                </c:pt>
                <c:pt idx="4">
                  <c:v>439533.1700000001</c:v>
                </c:pt>
                <c:pt idx="5">
                  <c:v>274675.51</c:v>
                </c:pt>
                <c:pt idx="6">
                  <c:v>76329.64</c:v>
                </c:pt>
              </c:numCache>
            </c:numRef>
          </c:val>
          <c:extLst>
            <c:ext xmlns:c16="http://schemas.microsoft.com/office/drawing/2014/chart" uri="{C3380CC4-5D6E-409C-BE32-E72D297353CC}">
              <c16:uniqueId val="{00000000-4EF7-4F91-85C8-248849FB8980}"/>
            </c:ext>
          </c:extLst>
        </c:ser>
        <c:dLbls>
          <c:dLblPos val="outEnd"/>
          <c:showLegendKey val="0"/>
          <c:showVal val="1"/>
          <c:showCatName val="0"/>
          <c:showSerName val="0"/>
          <c:showPercent val="0"/>
          <c:showBubbleSize val="0"/>
        </c:dLbls>
        <c:gapWidth val="182"/>
        <c:axId val="627884335"/>
        <c:axId val="661456015"/>
      </c:barChart>
      <c:catAx>
        <c:axId val="62788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61456015"/>
        <c:crosses val="autoZero"/>
        <c:auto val="1"/>
        <c:lblAlgn val="ctr"/>
        <c:lblOffset val="100"/>
        <c:noMultiLvlLbl val="0"/>
      </c:catAx>
      <c:valAx>
        <c:axId val="661456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2788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000"/>
        </a:schemeClr>
      </a:solidFill>
      <a:round/>
    </a:ln>
    <a:effectLst>
      <a:glow rad="25400">
        <a:schemeClr val="bg1"/>
      </a:glow>
      <a:outerShdw blurRad="1270000" dist="50800" dir="10800000" sx="110000" sy="110000" algn="ctr" rotWithShape="0">
        <a:srgbClr val="6E0650">
          <a:alpha val="50000"/>
        </a:srgbClr>
      </a:outerShdw>
      <a:softEdge rad="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Project.xlsx]Chart!Customers by Sales</c:name>
    <c:fmtId val="12"/>
  </c:pivotSource>
  <c:chart>
    <c:title>
      <c:tx>
        <c:rich>
          <a:bodyPr rot="0" spcFirstLastPara="1" vertOverflow="ellipsis" vert="horz" wrap="square" anchor="ctr" anchorCtr="1"/>
          <a:lstStyle/>
          <a:p>
            <a:pPr>
              <a:defRPr lang="en-US" sz="2000" b="1" i="0" u="none" strike="noStrike" kern="1200" spc="0" baseline="0">
                <a:solidFill>
                  <a:schemeClr val="bg1"/>
                </a:solidFill>
                <a:latin typeface="+mn-lt"/>
                <a:ea typeface="+mn-ea"/>
                <a:cs typeface="+mn-cs"/>
              </a:defRPr>
            </a:pPr>
            <a:r>
              <a:rPr lang="en-IN" sz="2000" b="1">
                <a:solidFill>
                  <a:schemeClr val="bg1"/>
                </a:solidFill>
              </a:rPr>
              <a:t>Top 10 Customers by Sales</a:t>
            </a:r>
            <a:endParaRPr lang="en-US" sz="2000" b="1">
              <a:solidFill>
                <a:schemeClr val="bg1"/>
              </a:solidFill>
            </a:endParaRPr>
          </a:p>
        </c:rich>
      </c:tx>
      <c:overlay val="0"/>
      <c:spPr>
        <a:gradFill>
          <a:gsLst>
            <a:gs pos="0">
              <a:srgbClr val="6E0650"/>
            </a:gs>
            <a:gs pos="100000">
              <a:srgbClr val="FA94E9"/>
            </a:gs>
            <a:gs pos="100000">
              <a:srgbClr val="FA94E9"/>
            </a:gs>
            <a:gs pos="100000">
              <a:srgbClr val="F5CFF3"/>
            </a:gs>
          </a:gsLst>
          <a:lin ang="5400000" scaled="1"/>
        </a:gradFill>
        <a:ln>
          <a:noFill/>
        </a:ln>
        <a:effectLst/>
      </c:spPr>
      <c:txPr>
        <a:bodyPr rot="0" spcFirstLastPara="1" vertOverflow="ellipsis" vert="horz" wrap="square" anchor="ctr" anchorCtr="1"/>
        <a:lstStyle/>
        <a:p>
          <a:pPr>
            <a:defRPr lang="en-US"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000">
                <a:srgbClr val="6E0650"/>
              </a:gs>
              <a:gs pos="74000">
                <a:srgbClr val="FA94E9"/>
              </a:gs>
              <a:gs pos="83000">
                <a:srgbClr val="FA94E9"/>
              </a:gs>
              <a:gs pos="100000">
                <a:srgbClr val="F5CFF3"/>
              </a:gs>
            </a:gsLst>
            <a:path path="circle">
              <a:fillToRect l="100000" t="100000"/>
            </a:path>
            <a:tileRect r="-100000" b="-100000"/>
          </a:gradFill>
          <a:ln>
            <a:noFill/>
          </a:ln>
          <a:effectLst/>
        </c:spPr>
        <c:marker>
          <c:symbol val="none"/>
        </c:marker>
        <c:dLbl>
          <c:idx val="0"/>
          <c:spPr>
            <a:gradFill>
              <a:gsLst>
                <a:gs pos="0">
                  <a:srgbClr val="FA94E9">
                    <a:alpha val="0"/>
                    <a:lumMod val="100000"/>
                  </a:srgbClr>
                </a:gs>
                <a:gs pos="74000">
                  <a:srgbClr val="FA94E9"/>
                </a:gs>
                <a:gs pos="83000">
                  <a:srgbClr val="FA94E9"/>
                </a:gs>
                <a:gs pos="100000">
                  <a:srgbClr val="F5CFF3"/>
                </a:gs>
              </a:gsLst>
              <a:lin ang="5400000" scaled="1"/>
            </a:grad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5000">
                <a:srgbClr val="6E0650"/>
              </a:gs>
              <a:gs pos="74000">
                <a:srgbClr val="FA94E9"/>
              </a:gs>
              <a:gs pos="83000">
                <a:srgbClr val="FA94E9"/>
              </a:gs>
              <a:gs pos="100000">
                <a:srgbClr val="F5CFF3"/>
              </a:gs>
            </a:gsLst>
            <a:path path="circle">
              <a:fillToRect l="100000" t="100000"/>
            </a:path>
            <a:tileRect r="-100000" b="-100000"/>
          </a:gradFill>
          <a:ln>
            <a:noFill/>
          </a:ln>
          <a:effectLst>
            <a:glow rad="127000">
              <a:schemeClr val="tx1">
                <a:alpha val="66000"/>
              </a:schemeClr>
            </a:glow>
            <a:outerShdw blurRad="939800" dist="50800" dir="5400000" algn="ctr" rotWithShape="0">
              <a:srgbClr val="000000">
                <a:alpha val="43137"/>
              </a:srgbClr>
            </a:outerShdw>
          </a:effectLst>
        </c:spPr>
      </c:pivotFmt>
    </c:pivotFmts>
    <c:plotArea>
      <c:layout>
        <c:manualLayout>
          <c:layoutTarget val="inner"/>
          <c:xMode val="edge"/>
          <c:yMode val="edge"/>
          <c:x val="0.36374528880291629"/>
          <c:y val="0.18234112700432811"/>
          <c:w val="0.56959667875458042"/>
          <c:h val="0.72242090090392963"/>
        </c:manualLayout>
      </c:layout>
      <c:barChart>
        <c:barDir val="bar"/>
        <c:grouping val="clustered"/>
        <c:varyColors val="0"/>
        <c:ser>
          <c:idx val="0"/>
          <c:order val="0"/>
          <c:tx>
            <c:strRef>
              <c:f>Chart!$B$64</c:f>
              <c:strCache>
                <c:ptCount val="1"/>
                <c:pt idx="0">
                  <c:v>Total</c:v>
                </c:pt>
              </c:strCache>
            </c:strRef>
          </c:tx>
          <c:spPr>
            <a:gradFill flip="none" rotWithShape="1">
              <a:gsLst>
                <a:gs pos="5000">
                  <a:srgbClr val="6E0650"/>
                </a:gs>
                <a:gs pos="74000">
                  <a:srgbClr val="FA94E9"/>
                </a:gs>
                <a:gs pos="83000">
                  <a:srgbClr val="FA94E9"/>
                </a:gs>
                <a:gs pos="100000">
                  <a:srgbClr val="F5CFF3"/>
                </a:gs>
              </a:gsLst>
              <a:path path="circle">
                <a:fillToRect l="100000" t="100000"/>
              </a:path>
              <a:tileRect r="-100000" b="-100000"/>
            </a:gradFill>
            <a:ln>
              <a:noFill/>
            </a:ln>
            <a:effectLst/>
          </c:spPr>
          <c:invertIfNegative val="0"/>
          <c:dPt>
            <c:idx val="0"/>
            <c:invertIfNegative val="0"/>
            <c:bubble3D val="0"/>
            <c:spPr>
              <a:gradFill flip="none" rotWithShape="1">
                <a:gsLst>
                  <a:gs pos="5000">
                    <a:srgbClr val="6E0650"/>
                  </a:gs>
                  <a:gs pos="74000">
                    <a:srgbClr val="FA94E9"/>
                  </a:gs>
                  <a:gs pos="83000">
                    <a:srgbClr val="FA94E9"/>
                  </a:gs>
                  <a:gs pos="100000">
                    <a:srgbClr val="F5CFF3"/>
                  </a:gs>
                </a:gsLst>
                <a:path path="circle">
                  <a:fillToRect l="100000" t="100000"/>
                </a:path>
                <a:tileRect r="-100000" b="-100000"/>
              </a:gradFill>
              <a:ln>
                <a:noFill/>
              </a:ln>
              <a:effectLst>
                <a:glow rad="127000">
                  <a:schemeClr val="tx1">
                    <a:alpha val="66000"/>
                  </a:schemeClr>
                </a:glow>
                <a:outerShdw blurRad="939800" dist="50800" dir="5400000" algn="ctr" rotWithShape="0">
                  <a:srgbClr val="000000">
                    <a:alpha val="43137"/>
                  </a:srgbClr>
                </a:outerShdw>
              </a:effectLst>
            </c:spPr>
            <c:extLst>
              <c:ext xmlns:c16="http://schemas.microsoft.com/office/drawing/2014/chart" uri="{C3380CC4-5D6E-409C-BE32-E72D297353CC}">
                <c16:uniqueId val="{00000000-AF4C-45C1-AF7F-B6B5AD70C59A}"/>
              </c:ext>
            </c:extLst>
          </c:dPt>
          <c:dLbls>
            <c:spPr>
              <a:gradFill>
                <a:gsLst>
                  <a:gs pos="0">
                    <a:srgbClr val="FA94E9">
                      <a:alpha val="0"/>
                      <a:lumMod val="100000"/>
                    </a:srgbClr>
                  </a:gs>
                  <a:gs pos="74000">
                    <a:srgbClr val="FA94E9"/>
                  </a:gs>
                  <a:gs pos="83000">
                    <a:srgbClr val="FA94E9"/>
                  </a:gs>
                  <a:gs pos="100000">
                    <a:srgbClr val="F5CFF3"/>
                  </a:gs>
                </a:gsLst>
                <a:lin ang="5400000" scaled="1"/>
              </a:grad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Chart!$A$65:$A$75</c:f>
              <c:strCache>
                <c:ptCount val="10"/>
                <c:pt idx="0">
                  <c:v>Mini Gifts Distributors Ltd.</c:v>
                </c:pt>
                <c:pt idx="1">
                  <c:v>Australian Collectors, Co.</c:v>
                </c:pt>
                <c:pt idx="2">
                  <c:v>Muscle Machine Inc</c:v>
                </c:pt>
                <c:pt idx="3">
                  <c:v>Land of Toys Inc.</c:v>
                </c:pt>
                <c:pt idx="4">
                  <c:v>The Sharp Gifts Warehouse</c:v>
                </c:pt>
                <c:pt idx="5">
                  <c:v>Souveniers And Things Co.</c:v>
                </c:pt>
                <c:pt idx="6">
                  <c:v>Anna's Decorations, Ltd</c:v>
                </c:pt>
                <c:pt idx="7">
                  <c:v>Technics Stores Inc.</c:v>
                </c:pt>
                <c:pt idx="8">
                  <c:v>Online Diecast Creations Co.</c:v>
                </c:pt>
                <c:pt idx="9">
                  <c:v>Tokyo Collectables, Ltd</c:v>
                </c:pt>
              </c:strCache>
            </c:strRef>
          </c:cat>
          <c:val>
            <c:numRef>
              <c:f>Chart!$B$65:$B$75</c:f>
              <c:numCache>
                <c:formatCode>General</c:formatCode>
                <c:ptCount val="10"/>
                <c:pt idx="0">
                  <c:v>530587.19000000018</c:v>
                </c:pt>
                <c:pt idx="1">
                  <c:v>164575.87000000002</c:v>
                </c:pt>
                <c:pt idx="2">
                  <c:v>151782.03999999992</c:v>
                </c:pt>
                <c:pt idx="3">
                  <c:v>138798.17000000001</c:v>
                </c:pt>
                <c:pt idx="4">
                  <c:v>136383.03999999998</c:v>
                </c:pt>
                <c:pt idx="5">
                  <c:v>133223.38</c:v>
                </c:pt>
                <c:pt idx="6">
                  <c:v>121260.40999999999</c:v>
                </c:pt>
                <c:pt idx="7">
                  <c:v>102489.13</c:v>
                </c:pt>
                <c:pt idx="8">
                  <c:v>101428.49999999999</c:v>
                </c:pt>
                <c:pt idx="9">
                  <c:v>97456.039999999964</c:v>
                </c:pt>
              </c:numCache>
            </c:numRef>
          </c:val>
          <c:extLst>
            <c:ext xmlns:c16="http://schemas.microsoft.com/office/drawing/2014/chart" uri="{C3380CC4-5D6E-409C-BE32-E72D297353CC}">
              <c16:uniqueId val="{00000000-9A96-45E2-B584-51DCBF093433}"/>
            </c:ext>
          </c:extLst>
        </c:ser>
        <c:dLbls>
          <c:dLblPos val="outEnd"/>
          <c:showLegendKey val="0"/>
          <c:showVal val="1"/>
          <c:showCatName val="0"/>
          <c:showSerName val="0"/>
          <c:showPercent val="0"/>
          <c:showBubbleSize val="0"/>
        </c:dLbls>
        <c:gapWidth val="114"/>
        <c:overlap val="19"/>
        <c:axId val="627916815"/>
        <c:axId val="335564175"/>
      </c:barChart>
      <c:catAx>
        <c:axId val="62791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crossAx val="335564175"/>
        <c:crosses val="autoZero"/>
        <c:auto val="1"/>
        <c:lblAlgn val="ctr"/>
        <c:lblOffset val="100"/>
        <c:noMultiLvlLbl val="0"/>
      </c:catAx>
      <c:valAx>
        <c:axId val="335564175"/>
        <c:scaling>
          <c:orientation val="minMax"/>
        </c:scaling>
        <c:delete val="0"/>
        <c:axPos val="b"/>
        <c:numFmt formatCode="General" sourceLinked="1"/>
        <c:majorTickMark val="none"/>
        <c:minorTickMark val="none"/>
        <c:tickLblPos val="nextTo"/>
        <c:spPr>
          <a:noFill/>
          <a:ln>
            <a:noFill/>
          </a:ln>
          <a:effectLst>
            <a:glow rad="1905000">
              <a:srgbClr val="1D0101">
                <a:alpha val="40000"/>
              </a:srgbClr>
            </a:glow>
          </a:effectLst>
        </c:spPr>
        <c:txPr>
          <a:bodyPr rot="-6000000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crossAx val="62791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000"/>
        </a:schemeClr>
      </a:solidFill>
      <a:round/>
    </a:ln>
    <a:effectLst>
      <a:glow rad="25400">
        <a:schemeClr val="bg1"/>
      </a:glow>
      <a:outerShdw blurRad="1270000" dist="50800" dir="5400000" sx="110000" sy="110000" algn="t" rotWithShape="0">
        <a:srgbClr val="6E0650">
          <a:alpha val="50000"/>
        </a:srgbClr>
      </a:outerShdw>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Project.xlsx]Chart!Sales by Country</c:name>
    <c:fmtId val="1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2000">
                <a:solidFill>
                  <a:schemeClr val="bg1"/>
                </a:solidFill>
              </a:rPr>
              <a:t>Sales by Country</a:t>
            </a:r>
            <a:endParaRPr lang="en-US" sz="2000">
              <a:solidFill>
                <a:schemeClr val="bg1"/>
              </a:solidFill>
            </a:endParaRPr>
          </a:p>
        </c:rich>
      </c:tx>
      <c:overlay val="0"/>
      <c:spPr>
        <a:gradFill>
          <a:gsLst>
            <a:gs pos="0">
              <a:srgbClr val="000000"/>
            </a:gs>
            <a:gs pos="0">
              <a:srgbClr val="6E0650"/>
            </a:gs>
            <a:gs pos="0">
              <a:srgbClr val="6E0650"/>
            </a:gs>
            <a:gs pos="100000">
              <a:srgbClr val="FA94E9"/>
            </a:gs>
            <a:gs pos="100000">
              <a:schemeClr val="bg1"/>
            </a:gs>
          </a:gsLst>
          <a:lin ang="5400000" scaled="1"/>
        </a:grad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75000">
                <a:srgbClr val="E062DA"/>
              </a:gs>
              <a:gs pos="87000">
                <a:srgbClr val="FA94E9"/>
              </a:gs>
              <a:gs pos="49000">
                <a:srgbClr val="F977CB"/>
              </a:gs>
              <a:gs pos="100000">
                <a:schemeClr val="accent1">
                  <a:lumMod val="30000"/>
                  <a:lumOff val="70000"/>
                </a:schemeClr>
              </a:gs>
            </a:gsLst>
            <a:lin ang="5400000" scaled="1"/>
          </a:gradFill>
          <a:ln>
            <a:solidFill>
              <a:srgbClr val="6E0650"/>
            </a:solidFill>
          </a:ln>
          <a:effectLst>
            <a:glow rad="1016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Chart!$B$78</c:f>
              <c:strCache>
                <c:ptCount val="1"/>
                <c:pt idx="0">
                  <c:v>Total</c:v>
                </c:pt>
              </c:strCache>
            </c:strRef>
          </c:tx>
          <c:spPr>
            <a:gradFill rotWithShape="1">
              <a:gsLst>
                <a:gs pos="75000">
                  <a:srgbClr val="E062DA"/>
                </a:gs>
                <a:gs pos="87000">
                  <a:srgbClr val="FA94E9"/>
                </a:gs>
                <a:gs pos="49000">
                  <a:srgbClr val="F977CB"/>
                </a:gs>
                <a:gs pos="100000">
                  <a:schemeClr val="accent1">
                    <a:lumMod val="30000"/>
                    <a:lumOff val="70000"/>
                  </a:schemeClr>
                </a:gs>
              </a:gsLst>
              <a:lin ang="5400000" scaled="1"/>
            </a:gradFill>
            <a:ln>
              <a:solidFill>
                <a:srgbClr val="6E0650"/>
              </a:solidFill>
            </a:ln>
            <a:effectLst>
              <a:glow rad="101600">
                <a:schemeClr val="bg1"/>
              </a:glow>
            </a:effectLst>
          </c:spPr>
          <c:invertIfNegative val="0"/>
          <c:cat>
            <c:strRef>
              <c:f>Chart!$A$79:$A$84</c:f>
              <c:strCache>
                <c:ptCount val="5"/>
                <c:pt idx="0">
                  <c:v>USA</c:v>
                </c:pt>
                <c:pt idx="1">
                  <c:v>Australia</c:v>
                </c:pt>
                <c:pt idx="2">
                  <c:v>Canada</c:v>
                </c:pt>
                <c:pt idx="3">
                  <c:v>Japan</c:v>
                </c:pt>
                <c:pt idx="4">
                  <c:v>UK</c:v>
                </c:pt>
              </c:strCache>
            </c:strRef>
          </c:cat>
          <c:val>
            <c:numRef>
              <c:f>Chart!$B$79:$B$84</c:f>
              <c:numCache>
                <c:formatCode>General</c:formatCode>
                <c:ptCount val="5"/>
                <c:pt idx="0">
                  <c:v>2765243.1999999993</c:v>
                </c:pt>
                <c:pt idx="1">
                  <c:v>521598.45999999985</c:v>
                </c:pt>
                <c:pt idx="2">
                  <c:v>193504.34000000003</c:v>
                </c:pt>
                <c:pt idx="3">
                  <c:v>153076.68999999994</c:v>
                </c:pt>
                <c:pt idx="4">
                  <c:v>73170.12999999999</c:v>
                </c:pt>
              </c:numCache>
            </c:numRef>
          </c:val>
          <c:extLst>
            <c:ext xmlns:c16="http://schemas.microsoft.com/office/drawing/2014/chart" uri="{C3380CC4-5D6E-409C-BE32-E72D297353CC}">
              <c16:uniqueId val="{00000000-26FD-46C7-B9F0-74F3692F2BD4}"/>
            </c:ext>
          </c:extLst>
        </c:ser>
        <c:dLbls>
          <c:showLegendKey val="0"/>
          <c:showVal val="0"/>
          <c:showCatName val="0"/>
          <c:showSerName val="0"/>
          <c:showPercent val="0"/>
          <c:showBubbleSize val="0"/>
        </c:dLbls>
        <c:gapWidth val="100"/>
        <c:overlap val="-24"/>
        <c:axId val="627940943"/>
        <c:axId val="335555535"/>
      </c:barChart>
      <c:catAx>
        <c:axId val="627940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335555535"/>
        <c:crosses val="autoZero"/>
        <c:auto val="1"/>
        <c:lblAlgn val="ctr"/>
        <c:lblOffset val="100"/>
        <c:noMultiLvlLbl val="0"/>
      </c:catAx>
      <c:valAx>
        <c:axId val="335555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27940943"/>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a:solidFill>
        <a:schemeClr val="bg1">
          <a:alpha val="8000"/>
        </a:schemeClr>
      </a:solidFill>
    </a:ln>
    <a:effectLst>
      <a:glow rad="25400">
        <a:schemeClr val="bg1"/>
      </a:glow>
      <a:outerShdw blurRad="1270000" dist="38100" dir="5400000" sx="110000" sy="110000" algn="t" rotWithShape="0">
        <a:srgbClr val="6E0650">
          <a:alpha val="5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Project.xlsx]Chart!PivotTable8</c:name>
    <c:fmtId val="17"/>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IN" sz="2000" b="1" i="0">
                <a:solidFill>
                  <a:schemeClr val="bg1"/>
                </a:solidFill>
              </a:rPr>
              <a:t>Orders by Status</a:t>
            </a:r>
            <a:endParaRPr lang="en-US" sz="2000" b="1" i="0">
              <a:solidFill>
                <a:schemeClr val="bg1"/>
              </a:solidFill>
            </a:endParaRPr>
          </a:p>
        </c:rich>
      </c:tx>
      <c:layout>
        <c:manualLayout>
          <c:xMode val="edge"/>
          <c:yMode val="edge"/>
          <c:x val="0.31929092260881453"/>
          <c:y val="3.563997896399352E-2"/>
        </c:manualLayout>
      </c:layout>
      <c:overlay val="0"/>
      <c:spPr>
        <a:gradFill>
          <a:gsLst>
            <a:gs pos="0">
              <a:srgbClr val="6E0650"/>
            </a:gs>
            <a:gs pos="100000">
              <a:srgbClr val="FA94E9"/>
            </a:gs>
            <a:gs pos="100000">
              <a:srgbClr val="FA94E9"/>
            </a:gs>
            <a:gs pos="100000">
              <a:srgbClr val="F5CFF3"/>
            </a:gs>
          </a:gsLst>
          <a:lin ang="5400000" scaled="1"/>
        </a:grad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C20A8D"/>
              </a:gs>
              <a:gs pos="74000">
                <a:srgbClr val="F977CB"/>
              </a:gs>
              <a:gs pos="83000">
                <a:srgbClr val="FA94E9"/>
              </a:gs>
              <a:gs pos="100000">
                <a:srgbClr val="FA94E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C20A8D"/>
              </a:gs>
              <a:gs pos="74000">
                <a:srgbClr val="F977CB"/>
              </a:gs>
              <a:gs pos="83000">
                <a:srgbClr val="FA94E9"/>
              </a:gs>
              <a:gs pos="100000">
                <a:srgbClr val="FA94E9"/>
              </a:gs>
            </a:gsLst>
            <a:lin ang="5400000" scaled="1"/>
          </a:gradFill>
          <a:ln>
            <a:noFill/>
          </a:ln>
          <a:effectLst/>
        </c:spPr>
      </c:pivotFmt>
    </c:pivotFmts>
    <c:plotArea>
      <c:layout/>
      <c:barChart>
        <c:barDir val="col"/>
        <c:grouping val="clustered"/>
        <c:varyColors val="0"/>
        <c:ser>
          <c:idx val="0"/>
          <c:order val="0"/>
          <c:tx>
            <c:strRef>
              <c:f>Chart!$B$89</c:f>
              <c:strCache>
                <c:ptCount val="1"/>
                <c:pt idx="0">
                  <c:v>Total</c:v>
                </c:pt>
              </c:strCache>
            </c:strRef>
          </c:tx>
          <c:spPr>
            <a:gradFill>
              <a:gsLst>
                <a:gs pos="0">
                  <a:srgbClr val="C20A8D"/>
                </a:gs>
                <a:gs pos="74000">
                  <a:srgbClr val="F977CB"/>
                </a:gs>
                <a:gs pos="83000">
                  <a:srgbClr val="FA94E9"/>
                </a:gs>
                <a:gs pos="100000">
                  <a:srgbClr val="FA94E9"/>
                </a:gs>
              </a:gsLst>
              <a:lin ang="5400000" scaled="1"/>
            </a:gradFill>
            <a:ln>
              <a:noFill/>
            </a:ln>
            <a:effectLst/>
          </c:spPr>
          <c:invertIfNegative val="0"/>
          <c:cat>
            <c:strRef>
              <c:f>Chart!$A$90:$A$96</c:f>
              <c:strCache>
                <c:ptCount val="6"/>
                <c:pt idx="0">
                  <c:v>Cancelled</c:v>
                </c:pt>
                <c:pt idx="1">
                  <c:v>Disputed</c:v>
                </c:pt>
                <c:pt idx="2">
                  <c:v>In Process</c:v>
                </c:pt>
                <c:pt idx="3">
                  <c:v>On Hold</c:v>
                </c:pt>
                <c:pt idx="4">
                  <c:v>Resolved</c:v>
                </c:pt>
                <c:pt idx="5">
                  <c:v>Shipped</c:v>
                </c:pt>
              </c:strCache>
            </c:strRef>
          </c:cat>
          <c:val>
            <c:numRef>
              <c:f>Chart!$B$90:$B$96</c:f>
              <c:numCache>
                <c:formatCode>General</c:formatCode>
                <c:ptCount val="6"/>
                <c:pt idx="0">
                  <c:v>143472</c:v>
                </c:pt>
                <c:pt idx="1">
                  <c:v>52075</c:v>
                </c:pt>
                <c:pt idx="2">
                  <c:v>177146</c:v>
                </c:pt>
                <c:pt idx="3">
                  <c:v>395492</c:v>
                </c:pt>
                <c:pt idx="4">
                  <c:v>134771</c:v>
                </c:pt>
                <c:pt idx="5">
                  <c:v>12038216</c:v>
                </c:pt>
              </c:numCache>
            </c:numRef>
          </c:val>
          <c:extLst>
            <c:ext xmlns:c16="http://schemas.microsoft.com/office/drawing/2014/chart" uri="{C3380CC4-5D6E-409C-BE32-E72D297353CC}">
              <c16:uniqueId val="{00000000-E62E-43B7-B553-115A844646F7}"/>
            </c:ext>
          </c:extLst>
        </c:ser>
        <c:dLbls>
          <c:showLegendKey val="0"/>
          <c:showVal val="0"/>
          <c:showCatName val="0"/>
          <c:showSerName val="0"/>
          <c:showPercent val="0"/>
          <c:showBubbleSize val="0"/>
        </c:dLbls>
        <c:gapWidth val="219"/>
        <c:overlap val="-27"/>
        <c:axId val="515847328"/>
        <c:axId val="441894831"/>
      </c:barChart>
      <c:catAx>
        <c:axId val="51584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41894831"/>
        <c:crosses val="autoZero"/>
        <c:auto val="1"/>
        <c:lblAlgn val="ctr"/>
        <c:lblOffset val="100"/>
        <c:noMultiLvlLbl val="0"/>
      </c:catAx>
      <c:valAx>
        <c:axId val="441894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1584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000"/>
        </a:schemeClr>
      </a:solidFill>
      <a:round/>
    </a:ln>
    <a:effectLst>
      <a:glow rad="25400">
        <a:schemeClr val="bg1"/>
      </a:glow>
      <a:outerShdw blurRad="1270000" dist="50800" dir="5400000" sx="110000" sy="110000" algn="ctr" rotWithShape="0">
        <a:srgbClr val="6E0650">
          <a:alpha val="50000"/>
        </a:srgb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Project.xlsx]Chart!Sales by Deal Size</c:name>
    <c:fmtId val="15"/>
  </c:pivotSource>
  <c:chart>
    <c:title>
      <c:tx>
        <c:rich>
          <a:bodyPr rot="0" spcFirstLastPara="1" vertOverflow="ellipsis" vert="horz" wrap="square" anchor="ctr" anchorCtr="1"/>
          <a:lstStyle/>
          <a:p>
            <a:pPr algn="ctr" rtl="0">
              <a:defRPr lang="en-IN" sz="2000" b="1" i="0" u="none" strike="noStrike" kern="1200" spc="0" baseline="0">
                <a:solidFill>
                  <a:schemeClr val="bg1"/>
                </a:solidFill>
                <a:latin typeface="+mn-lt"/>
                <a:ea typeface="+mn-ea"/>
                <a:cs typeface="+mn-cs"/>
              </a:defRPr>
            </a:pPr>
            <a:r>
              <a:rPr lang="en-IN" sz="2000" b="1" i="0" u="none" strike="noStrike" kern="1200" spc="0" baseline="0">
                <a:solidFill>
                  <a:schemeClr val="bg1"/>
                </a:solidFill>
                <a:latin typeface="+mn-lt"/>
                <a:ea typeface="+mn-ea"/>
                <a:cs typeface="+mn-cs"/>
              </a:rPr>
              <a:t>Sales by Deal Size</a:t>
            </a:r>
          </a:p>
        </c:rich>
      </c:tx>
      <c:overlay val="0"/>
      <c:spPr>
        <a:gradFill>
          <a:gsLst>
            <a:gs pos="0">
              <a:srgbClr val="6E0650"/>
            </a:gs>
            <a:gs pos="100000">
              <a:srgbClr val="FA94E9"/>
            </a:gs>
            <a:gs pos="100000">
              <a:srgbClr val="F5CFF3"/>
            </a:gs>
          </a:gsLst>
          <a:lin ang="5400000" scaled="1"/>
        </a:gradFill>
        <a:ln>
          <a:noFill/>
        </a:ln>
        <a:effectLst/>
      </c:spPr>
      <c:txPr>
        <a:bodyPr rot="0" spcFirstLastPara="1" vertOverflow="ellipsis" vert="horz" wrap="square" anchor="ctr" anchorCtr="1"/>
        <a:lstStyle/>
        <a:p>
          <a:pPr algn="ctr" rtl="0">
            <a:defRPr lang="en-IN" sz="20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gradFill>
            <a:gsLst>
              <a:gs pos="13000">
                <a:srgbClr val="C20A8D"/>
              </a:gs>
              <a:gs pos="100000">
                <a:srgbClr val="FA94E9"/>
              </a:gs>
              <a:gs pos="100000">
                <a:srgbClr val="FA94E9"/>
              </a:gs>
              <a:gs pos="100000">
                <a:srgbClr val="F5CFF3"/>
              </a:gs>
            </a:gsLst>
            <a:path path="circle">
              <a:fillToRect l="100000" t="100000"/>
            </a:path>
          </a:gradFill>
          <a:ln w="19050">
            <a:solidFill>
              <a:schemeClr val="lt1"/>
            </a:solidFill>
          </a:ln>
          <a:effectLst/>
        </c:spPr>
        <c:marker>
          <c:symbol val="none"/>
        </c:marker>
        <c:dLbl>
          <c:idx val="0"/>
          <c:spPr>
            <a:solidFill>
              <a:srgbClr val="1D0101"/>
            </a:solid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852BD"/>
          </a:solidFill>
          <a:ln w="19050">
            <a:solidFill>
              <a:schemeClr val="lt1"/>
            </a:solidFill>
          </a:ln>
          <a:effectLst/>
        </c:spPr>
      </c:pivotFmt>
      <c:pivotFmt>
        <c:idx val="10"/>
        <c:spPr>
          <a:solidFill>
            <a:srgbClr val="BC087C"/>
          </a:solidFill>
          <a:ln w="19050">
            <a:solidFill>
              <a:schemeClr val="lt1"/>
            </a:solidFill>
          </a:ln>
          <a:effectLst/>
        </c:spPr>
      </c:pivotFmt>
      <c:pivotFmt>
        <c:idx val="11"/>
        <c:spPr>
          <a:solidFill>
            <a:srgbClr val="6E0650"/>
          </a:solidFill>
          <a:ln w="19050">
            <a:solidFill>
              <a:schemeClr val="lt1"/>
            </a:solidFill>
          </a:ln>
          <a:effectLst/>
        </c:spPr>
      </c:pivotFmt>
    </c:pivotFmts>
    <c:plotArea>
      <c:layout>
        <c:manualLayout>
          <c:layoutTarget val="inner"/>
          <c:xMode val="edge"/>
          <c:yMode val="edge"/>
          <c:x val="7.8135518551117805E-2"/>
          <c:y val="0.16736840386399279"/>
          <c:w val="0.66294157008927534"/>
          <c:h val="0.81919029481127192"/>
        </c:manualLayout>
      </c:layout>
      <c:doughnutChart>
        <c:varyColors val="1"/>
        <c:ser>
          <c:idx val="0"/>
          <c:order val="0"/>
          <c:tx>
            <c:strRef>
              <c:f>Chart!$B$102</c:f>
              <c:strCache>
                <c:ptCount val="1"/>
                <c:pt idx="0">
                  <c:v>Total</c:v>
                </c:pt>
              </c:strCache>
            </c:strRef>
          </c:tx>
          <c:spPr>
            <a:gradFill>
              <a:gsLst>
                <a:gs pos="13000">
                  <a:srgbClr val="C20A8D"/>
                </a:gs>
                <a:gs pos="100000">
                  <a:srgbClr val="FA94E9"/>
                </a:gs>
                <a:gs pos="100000">
                  <a:srgbClr val="FA94E9"/>
                </a:gs>
                <a:gs pos="100000">
                  <a:srgbClr val="F5CFF3"/>
                </a:gs>
              </a:gsLst>
              <a:path path="circle">
                <a:fillToRect l="100000" t="100000"/>
              </a:path>
            </a:gradFill>
          </c:spPr>
          <c:dPt>
            <c:idx val="0"/>
            <c:bubble3D val="0"/>
            <c:spPr>
              <a:solidFill>
                <a:srgbClr val="F852BD"/>
              </a:solidFill>
              <a:ln w="19050">
                <a:solidFill>
                  <a:schemeClr val="lt1"/>
                </a:solidFill>
              </a:ln>
              <a:effectLst/>
            </c:spPr>
            <c:extLst>
              <c:ext xmlns:c16="http://schemas.microsoft.com/office/drawing/2014/chart" uri="{C3380CC4-5D6E-409C-BE32-E72D297353CC}">
                <c16:uniqueId val="{00000001-BDBA-4A2D-975D-78245E8BDA42}"/>
              </c:ext>
            </c:extLst>
          </c:dPt>
          <c:dPt>
            <c:idx val="1"/>
            <c:bubble3D val="0"/>
            <c:spPr>
              <a:solidFill>
                <a:srgbClr val="BC087C"/>
              </a:solidFill>
              <a:ln w="19050">
                <a:solidFill>
                  <a:schemeClr val="lt1"/>
                </a:solidFill>
              </a:ln>
              <a:effectLst/>
            </c:spPr>
            <c:extLst>
              <c:ext xmlns:c16="http://schemas.microsoft.com/office/drawing/2014/chart" uri="{C3380CC4-5D6E-409C-BE32-E72D297353CC}">
                <c16:uniqueId val="{00000003-BDBA-4A2D-975D-78245E8BDA42}"/>
              </c:ext>
            </c:extLst>
          </c:dPt>
          <c:dPt>
            <c:idx val="2"/>
            <c:bubble3D val="0"/>
            <c:spPr>
              <a:solidFill>
                <a:srgbClr val="6E0650"/>
              </a:solidFill>
              <a:ln w="19050">
                <a:solidFill>
                  <a:schemeClr val="lt1"/>
                </a:solidFill>
              </a:ln>
              <a:effectLst/>
            </c:spPr>
            <c:extLst>
              <c:ext xmlns:c16="http://schemas.microsoft.com/office/drawing/2014/chart" uri="{C3380CC4-5D6E-409C-BE32-E72D297353CC}">
                <c16:uniqueId val="{00000005-BDBA-4A2D-975D-78245E8BDA42}"/>
              </c:ext>
            </c:extLst>
          </c:dPt>
          <c:dLbls>
            <c:spPr>
              <a:solidFill>
                <a:srgbClr val="1D0101"/>
              </a:solid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Chart!$A$103:$A$106</c:f>
              <c:strCache>
                <c:ptCount val="3"/>
                <c:pt idx="0">
                  <c:v>Large</c:v>
                </c:pt>
                <c:pt idx="1">
                  <c:v>Medium</c:v>
                </c:pt>
                <c:pt idx="2">
                  <c:v>Small</c:v>
                </c:pt>
              </c:strCache>
            </c:strRef>
          </c:cat>
          <c:val>
            <c:numRef>
              <c:f>Chart!$B$103:$B$106</c:f>
              <c:numCache>
                <c:formatCode>General</c:formatCode>
                <c:ptCount val="3"/>
                <c:pt idx="0">
                  <c:v>327209.75</c:v>
                </c:pt>
                <c:pt idx="1">
                  <c:v>2221494.2900000014</c:v>
                </c:pt>
                <c:pt idx="2">
                  <c:v>1157888.7800000003</c:v>
                </c:pt>
              </c:numCache>
            </c:numRef>
          </c:val>
          <c:extLst>
            <c:ext xmlns:c16="http://schemas.microsoft.com/office/drawing/2014/chart" uri="{C3380CC4-5D6E-409C-BE32-E72D297353CC}">
              <c16:uniqueId val="{00000006-BDBA-4A2D-975D-78245E8BDA42}"/>
            </c:ext>
          </c:extLst>
        </c:ser>
        <c:dLbls>
          <c:showLegendKey val="0"/>
          <c:showVal val="1"/>
          <c:showCatName val="0"/>
          <c:showSerName val="0"/>
          <c:showPercent val="0"/>
          <c:showBubbleSize val="0"/>
          <c:showLeaderLines val="1"/>
        </c:dLbls>
        <c:firstSliceAng val="291"/>
        <c:holeSize val="51"/>
      </c:doughnutChart>
      <c:spPr>
        <a:noFill/>
        <a:ln>
          <a:noFill/>
        </a:ln>
        <a:effectLst>
          <a:outerShdw blurRad="50800" dist="38100" dir="5400000" algn="ctr" rotWithShape="0">
            <a:srgbClr val="1D0101"/>
          </a:outerShdw>
        </a:effectLst>
      </c:spPr>
    </c:plotArea>
    <c:legend>
      <c:legendPos val="r"/>
      <c:layout>
        <c:manualLayout>
          <c:xMode val="edge"/>
          <c:yMode val="edge"/>
          <c:x val="0.73297866591684901"/>
          <c:y val="0.31273477160149954"/>
          <c:w val="0.2437574474204105"/>
          <c:h val="0.4256396181728999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53975" cap="flat" cmpd="sng" algn="ctr">
      <a:solidFill>
        <a:schemeClr val="bg1">
          <a:alpha val="8000"/>
        </a:schemeClr>
      </a:solidFill>
      <a:round/>
    </a:ln>
    <a:effectLst>
      <a:glow rad="12700">
        <a:schemeClr val="bg1">
          <a:alpha val="68000"/>
        </a:schemeClr>
      </a:glow>
      <a:outerShdw blurRad="1270000" dist="50800" dir="5400000" sx="110000" sy="110000" algn="t" rotWithShape="0">
        <a:srgbClr val="6E0650">
          <a:alpha val="50000"/>
        </a:srgbClr>
      </a:outerShdw>
      <a:softEdge rad="2540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Order Performance Excel-Final Project.xlsx]Chart!Sales by Territory</c:name>
    <c:fmtId val="16"/>
  </c:pivotSource>
  <c:chart>
    <c:autoTitleDeleted val="1"/>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A94E9">
              <a:alpha val="40000"/>
            </a:srgbClr>
          </a:solidFill>
          <a:ln>
            <a:noFill/>
          </a:ln>
          <a:effectLst>
            <a:glow rad="127000">
              <a:srgbClr val="7030A0"/>
            </a:glow>
            <a:outerShdw blurRad="469900" dist="50800" dir="5400000" sx="117000" sy="117000" algn="ctr" rotWithShape="0">
              <a:srgbClr val="F62AAD"/>
            </a:outerShdw>
          </a:effectLst>
        </c:spPr>
        <c:marker>
          <c:symbol val="none"/>
        </c:marker>
        <c:dLbl>
          <c:idx val="0"/>
          <c:spPr>
            <a:solidFill>
              <a:srgbClr val="1D0101"/>
            </a:solid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50734409449169"/>
          <c:y val="0.17998314322356332"/>
          <c:w val="0.78506319559381932"/>
          <c:h val="0.71268365658902755"/>
        </c:manualLayout>
      </c:layout>
      <c:areaChart>
        <c:grouping val="standard"/>
        <c:varyColors val="0"/>
        <c:ser>
          <c:idx val="0"/>
          <c:order val="0"/>
          <c:tx>
            <c:strRef>
              <c:f>Chart!$B$115</c:f>
              <c:strCache>
                <c:ptCount val="1"/>
                <c:pt idx="0">
                  <c:v>Total</c:v>
                </c:pt>
              </c:strCache>
            </c:strRef>
          </c:tx>
          <c:spPr>
            <a:solidFill>
              <a:srgbClr val="FA94E9">
                <a:alpha val="40000"/>
              </a:srgbClr>
            </a:solidFill>
            <a:ln>
              <a:noFill/>
            </a:ln>
            <a:effectLst>
              <a:glow rad="127000">
                <a:srgbClr val="7030A0"/>
              </a:glow>
              <a:outerShdw blurRad="469900" dist="50800" dir="5400000" sx="117000" sy="117000" algn="ctr" rotWithShape="0">
                <a:srgbClr val="F62AAD"/>
              </a:outerShdw>
            </a:effectLst>
          </c:spPr>
          <c:dLbls>
            <c:spPr>
              <a:solidFill>
                <a:srgbClr val="1D0101"/>
              </a:solid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Chart!$A$116:$A$120</c:f>
              <c:strCache>
                <c:ptCount val="4"/>
                <c:pt idx="0">
                  <c:v>APAC</c:v>
                </c:pt>
                <c:pt idx="1">
                  <c:v>EMEA</c:v>
                </c:pt>
                <c:pt idx="2">
                  <c:v>Japan</c:v>
                </c:pt>
                <c:pt idx="3">
                  <c:v>NA</c:v>
                </c:pt>
              </c:strCache>
            </c:strRef>
          </c:cat>
          <c:val>
            <c:numRef>
              <c:f>Chart!$B$116:$B$120</c:f>
              <c:numCache>
                <c:formatCode>General</c:formatCode>
                <c:ptCount val="4"/>
                <c:pt idx="0">
                  <c:v>521598.45999999985</c:v>
                </c:pt>
                <c:pt idx="1">
                  <c:v>73170.12999999999</c:v>
                </c:pt>
                <c:pt idx="2">
                  <c:v>153076.68999999994</c:v>
                </c:pt>
                <c:pt idx="3">
                  <c:v>2958747.5399999986</c:v>
                </c:pt>
              </c:numCache>
            </c:numRef>
          </c:val>
          <c:extLst>
            <c:ext xmlns:c16="http://schemas.microsoft.com/office/drawing/2014/chart" uri="{C3380CC4-5D6E-409C-BE32-E72D297353CC}">
              <c16:uniqueId val="{00000000-C0B7-4558-954C-CE17CFDFF9BC}"/>
            </c:ext>
          </c:extLst>
        </c:ser>
        <c:dLbls>
          <c:showLegendKey val="0"/>
          <c:showVal val="1"/>
          <c:showCatName val="0"/>
          <c:showSerName val="0"/>
          <c:showPercent val="0"/>
          <c:showBubbleSize val="0"/>
        </c:dLbls>
        <c:axId val="927806064"/>
        <c:axId val="661472335"/>
      </c:areaChart>
      <c:catAx>
        <c:axId val="927806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crossAx val="661472335"/>
        <c:crosses val="autoZero"/>
        <c:auto val="1"/>
        <c:lblAlgn val="ctr"/>
        <c:lblOffset val="100"/>
        <c:noMultiLvlLbl val="0"/>
      </c:catAx>
      <c:valAx>
        <c:axId val="661472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crossAx val="927806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000"/>
        </a:schemeClr>
      </a:solidFill>
      <a:round/>
    </a:ln>
    <a:effectLst>
      <a:glow rad="25400">
        <a:schemeClr val="bg1"/>
      </a:glow>
      <a:outerShdw blurRad="1270000" dist="50800" dir="5400000" sx="110000" sy="110000" algn="t" rotWithShape="0">
        <a:srgbClr val="6E0650">
          <a:alpha val="50000"/>
        </a:srgbClr>
      </a:outerShdw>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Order Performance Excel-Final Project.xlsx]Chart!Quarterly Sales</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chemeClr val="bg1"/>
                </a:solidFill>
                <a:latin typeface="+mn-lt"/>
                <a:ea typeface="+mn-ea"/>
                <a:cs typeface="+mn-cs"/>
              </a:defRPr>
            </a:pPr>
            <a:r>
              <a:rPr lang="en-US" sz="2000" b="1" i="0" u="none" strike="noStrike" kern="1200" baseline="0">
                <a:solidFill>
                  <a:schemeClr val="bg1"/>
                </a:solidFill>
              </a:rPr>
              <a:t>Quarterly Sales</a:t>
            </a:r>
          </a:p>
        </c:rich>
      </c:tx>
      <c:layout>
        <c:manualLayout>
          <c:xMode val="edge"/>
          <c:yMode val="edge"/>
          <c:x val="0.31495028522770196"/>
          <c:y val="4.9814112298790535E-2"/>
        </c:manualLayout>
      </c:layout>
      <c:overlay val="0"/>
      <c:spPr>
        <a:gradFill>
          <a:gsLst>
            <a:gs pos="0">
              <a:srgbClr val="6E0650"/>
            </a:gs>
            <a:gs pos="100000">
              <a:srgbClr val="FA94E9"/>
            </a:gs>
            <a:gs pos="100000">
              <a:srgbClr val="F5CFF3"/>
            </a:gs>
          </a:gsLst>
          <a:lin ang="5400000" scaled="1"/>
        </a:gradFill>
        <a:ln>
          <a:noFill/>
        </a:ln>
        <a:effectLst>
          <a:outerShdw blurRad="800100" dist="50800" dir="5400000" sx="1000" sy="1000" algn="ctr" rotWithShape="0">
            <a:schemeClr val="bg1">
              <a:lumMod val="95000"/>
            </a:schemeClr>
          </a:outerShdw>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94D97">
              <a:alpha val="88000"/>
            </a:srgbClr>
          </a:solidFill>
          <a:ln w="25400">
            <a:solidFill>
              <a:schemeClr val="lt1"/>
            </a:solidFill>
          </a:ln>
          <a:effectLst/>
          <a:sp3d contourW="25400">
            <a:contourClr>
              <a:schemeClr val="lt1"/>
            </a:contourClr>
          </a:sp3d>
        </c:spPr>
      </c:pivotFmt>
      <c:pivotFmt>
        <c:idx val="12"/>
        <c:spPr>
          <a:solidFill>
            <a:srgbClr val="F73BB4">
              <a:alpha val="73000"/>
            </a:srgbClr>
          </a:solidFill>
          <a:ln w="25400">
            <a:solidFill>
              <a:schemeClr val="lt1"/>
            </a:solidFill>
          </a:ln>
          <a:effectLst/>
          <a:sp3d contourW="25400">
            <a:contourClr>
              <a:schemeClr val="lt1"/>
            </a:contourClr>
          </a:sp3d>
        </c:spPr>
      </c:pivotFmt>
      <c:pivotFmt>
        <c:idx val="13"/>
        <c:spPr>
          <a:solidFill>
            <a:srgbClr val="E062DA">
              <a:alpha val="79000"/>
            </a:srgbClr>
          </a:solidFill>
          <a:ln w="25400">
            <a:solidFill>
              <a:schemeClr val="lt1"/>
            </a:solidFill>
          </a:ln>
          <a:effectLst/>
          <a:sp3d contourW="25400">
            <a:contourClr>
              <a:schemeClr val="lt1"/>
            </a:contourClr>
          </a:sp3d>
        </c:spPr>
      </c:pivotFmt>
      <c:pivotFmt>
        <c:idx val="14"/>
        <c:spPr>
          <a:solidFill>
            <a:srgbClr val="D52BCD">
              <a:alpha val="82000"/>
            </a:srgbClr>
          </a:solidFill>
          <a:ln w="25400">
            <a:solidFill>
              <a:schemeClr val="lt1"/>
            </a:solidFill>
          </a:ln>
          <a:effectLst/>
          <a:sp3d contourW="25400">
            <a:contourClr>
              <a:schemeClr val="lt1"/>
            </a:contourClr>
          </a:sp3d>
        </c:spPr>
      </c:pivotFmt>
    </c:pivotFmts>
    <c:view3D>
      <c:rotX val="30"/>
      <c:rotY val="282"/>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237131090483059E-2"/>
          <c:y val="0.27611922470258621"/>
          <c:w val="0.71938227792489384"/>
          <c:h val="0.68067896157974039"/>
        </c:manualLayout>
      </c:layout>
      <c:pie3DChart>
        <c:varyColors val="1"/>
        <c:ser>
          <c:idx val="0"/>
          <c:order val="0"/>
          <c:tx>
            <c:strRef>
              <c:f>Chart!$B$125</c:f>
              <c:strCache>
                <c:ptCount val="1"/>
                <c:pt idx="0">
                  <c:v>Total</c:v>
                </c:pt>
              </c:strCache>
            </c:strRef>
          </c:tx>
          <c:explosion val="20"/>
          <c:dPt>
            <c:idx val="0"/>
            <c:bubble3D val="0"/>
            <c:spPr>
              <a:solidFill>
                <a:srgbClr val="E94D97">
                  <a:alpha val="88000"/>
                </a:srgb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2C-46C3-85FD-E33D26F213F2}"/>
              </c:ext>
            </c:extLst>
          </c:dPt>
          <c:dPt>
            <c:idx val="1"/>
            <c:bubble3D val="0"/>
            <c:spPr>
              <a:solidFill>
                <a:srgbClr val="F73BB4">
                  <a:alpha val="73000"/>
                </a:srgb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2C-46C3-85FD-E33D26F213F2}"/>
              </c:ext>
            </c:extLst>
          </c:dPt>
          <c:dPt>
            <c:idx val="2"/>
            <c:bubble3D val="0"/>
            <c:spPr>
              <a:solidFill>
                <a:srgbClr val="E062DA">
                  <a:alpha val="79000"/>
                </a:srgb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C2C-46C3-85FD-E33D26F213F2}"/>
              </c:ext>
            </c:extLst>
          </c:dPt>
          <c:dPt>
            <c:idx val="3"/>
            <c:bubble3D val="0"/>
            <c:spPr>
              <a:solidFill>
                <a:srgbClr val="D52BCD">
                  <a:alpha val="82000"/>
                </a:srgb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2C-46C3-85FD-E33D26F213F2}"/>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Chart!$A$126:$A$130</c:f>
              <c:strCache>
                <c:ptCount val="4"/>
                <c:pt idx="0">
                  <c:v>1</c:v>
                </c:pt>
                <c:pt idx="1">
                  <c:v>2</c:v>
                </c:pt>
                <c:pt idx="2">
                  <c:v>3</c:v>
                </c:pt>
                <c:pt idx="3">
                  <c:v>4</c:v>
                </c:pt>
              </c:strCache>
            </c:strRef>
          </c:cat>
          <c:val>
            <c:numRef>
              <c:f>Chart!$B$126:$B$130</c:f>
              <c:numCache>
                <c:formatCode>General</c:formatCode>
                <c:ptCount val="4"/>
                <c:pt idx="0">
                  <c:v>744955.86000000034</c:v>
                </c:pt>
                <c:pt idx="1">
                  <c:v>790482.73999999964</c:v>
                </c:pt>
                <c:pt idx="2">
                  <c:v>770819.83000000019</c:v>
                </c:pt>
                <c:pt idx="3">
                  <c:v>1400334.3900000004</c:v>
                </c:pt>
              </c:numCache>
            </c:numRef>
          </c:val>
          <c:extLst>
            <c:ext xmlns:c16="http://schemas.microsoft.com/office/drawing/2014/chart" uri="{C3380CC4-5D6E-409C-BE32-E72D297353CC}">
              <c16:uniqueId val="{00000008-1C2C-46C3-85FD-E33D26F213F2}"/>
            </c:ext>
          </c:extLst>
        </c:ser>
        <c:dLbls>
          <c:showLegendKey val="0"/>
          <c:showVal val="0"/>
          <c:showCatName val="0"/>
          <c:showSerName val="0"/>
          <c:showPercent val="0"/>
          <c:showBubbleSize val="0"/>
          <c:showLeaderLines val="1"/>
        </c:dLbls>
      </c:pie3DChart>
      <c:spPr>
        <a:noFill/>
        <a:ln>
          <a:noFill/>
        </a:ln>
        <a:effectLst>
          <a:glow rad="63500">
            <a:schemeClr val="accent1">
              <a:satMod val="175000"/>
              <a:alpha val="40000"/>
            </a:schemeClr>
          </a:glow>
          <a:outerShdw blurRad="50800" dist="50800" dir="5400000" algn="ctr" rotWithShape="0">
            <a:srgbClr val="6E0650">
              <a:alpha val="5000"/>
            </a:srgbClr>
          </a:outerShdw>
        </a:effectLst>
      </c:spPr>
    </c:plotArea>
    <c:legend>
      <c:legendPos val="r"/>
      <c:layout>
        <c:manualLayout>
          <c:xMode val="edge"/>
          <c:yMode val="edge"/>
          <c:x val="0.82532689676955351"/>
          <c:y val="8.8368404778232407E-2"/>
          <c:w val="0.1258866814775926"/>
          <c:h val="0.40059044758829737"/>
        </c:manualLayout>
      </c:layout>
      <c:overlay val="0"/>
      <c:spPr>
        <a:noFill/>
        <a:ln>
          <a:solidFill>
            <a:schemeClr val="tx1">
              <a:lumMod val="15000"/>
              <a:lumOff val="85000"/>
              <a:alpha val="1000"/>
            </a:schemeClr>
          </a:solid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000"/>
        </a:schemeClr>
      </a:solidFill>
      <a:round/>
    </a:ln>
    <a:effectLst>
      <a:glow rad="25400">
        <a:schemeClr val="bg1"/>
      </a:glow>
      <a:outerShdw blurRad="1270000" dist="38100" dir="5400000" sx="110000" sy="110000" algn="t" rotWithShape="0">
        <a:srgbClr val="6E0650">
          <a:alpha val="50000"/>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762000</xdr:colOff>
      <xdr:row>20</xdr:row>
      <xdr:rowOff>179070</xdr:rowOff>
    </xdr:from>
    <xdr:to>
      <xdr:col>7</xdr:col>
      <xdr:colOff>251460</xdr:colOff>
      <xdr:row>39</xdr:row>
      <xdr:rowOff>167640</xdr:rowOff>
    </xdr:to>
    <xdr:graphicFrame macro="">
      <xdr:nvGraphicFramePr>
        <xdr:cNvPr id="4" name="Chart 3">
          <a:extLst>
            <a:ext uri="{FF2B5EF4-FFF2-40B4-BE49-F238E27FC236}">
              <a16:creationId xmlns:a16="http://schemas.microsoft.com/office/drawing/2014/main" id="{CBE06F77-6E8B-A95A-E184-8ED1AC546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48</xdr:row>
      <xdr:rowOff>148590</xdr:rowOff>
    </xdr:from>
    <xdr:to>
      <xdr:col>7</xdr:col>
      <xdr:colOff>342900</xdr:colOff>
      <xdr:row>59</xdr:row>
      <xdr:rowOff>137160</xdr:rowOff>
    </xdr:to>
    <xdr:graphicFrame macro="">
      <xdr:nvGraphicFramePr>
        <xdr:cNvPr id="5" name="Chart 4">
          <a:extLst>
            <a:ext uri="{FF2B5EF4-FFF2-40B4-BE49-F238E27FC236}">
              <a16:creationId xmlns:a16="http://schemas.microsoft.com/office/drawing/2014/main" id="{BBDB8FC6-37AD-0F9B-F533-668032283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762000</xdr:colOff>
      <xdr:row>63</xdr:row>
      <xdr:rowOff>41910</xdr:rowOff>
    </xdr:from>
    <xdr:to>
      <xdr:col>7</xdr:col>
      <xdr:colOff>198120</xdr:colOff>
      <xdr:row>74</xdr:row>
      <xdr:rowOff>76200</xdr:rowOff>
    </xdr:to>
    <xdr:graphicFrame macro="">
      <xdr:nvGraphicFramePr>
        <xdr:cNvPr id="6" name="Chart 5">
          <a:extLst>
            <a:ext uri="{FF2B5EF4-FFF2-40B4-BE49-F238E27FC236}">
              <a16:creationId xmlns:a16="http://schemas.microsoft.com/office/drawing/2014/main" id="{6796923A-52FD-E520-7D6A-06770E234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914400</xdr:colOff>
      <xdr:row>75</xdr:row>
      <xdr:rowOff>91440</xdr:rowOff>
    </xdr:from>
    <xdr:to>
      <xdr:col>6</xdr:col>
      <xdr:colOff>495300</xdr:colOff>
      <xdr:row>85</xdr:row>
      <xdr:rowOff>118110</xdr:rowOff>
    </xdr:to>
    <xdr:graphicFrame macro="">
      <xdr:nvGraphicFramePr>
        <xdr:cNvPr id="7" name="Chart 6">
          <a:extLst>
            <a:ext uri="{FF2B5EF4-FFF2-40B4-BE49-F238E27FC236}">
              <a16:creationId xmlns:a16="http://schemas.microsoft.com/office/drawing/2014/main" id="{C0DDB1DC-1230-FCC7-150E-C4A8F2B21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579120</xdr:colOff>
      <xdr:row>87</xdr:row>
      <xdr:rowOff>125730</xdr:rowOff>
    </xdr:from>
    <xdr:to>
      <xdr:col>6</xdr:col>
      <xdr:colOff>129540</xdr:colOff>
      <xdr:row>98</xdr:row>
      <xdr:rowOff>76200</xdr:rowOff>
    </xdr:to>
    <xdr:graphicFrame macro="">
      <xdr:nvGraphicFramePr>
        <xdr:cNvPr id="8" name="Chart 7">
          <a:extLst>
            <a:ext uri="{FF2B5EF4-FFF2-40B4-BE49-F238E27FC236}">
              <a16:creationId xmlns:a16="http://schemas.microsoft.com/office/drawing/2014/main" id="{59D71C31-223D-9A93-3874-7453E17FE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693420</xdr:colOff>
      <xdr:row>99</xdr:row>
      <xdr:rowOff>15240</xdr:rowOff>
    </xdr:from>
    <xdr:to>
      <xdr:col>5</xdr:col>
      <xdr:colOff>396240</xdr:colOff>
      <xdr:row>111</xdr:row>
      <xdr:rowOff>110490</xdr:rowOff>
    </xdr:to>
    <xdr:graphicFrame macro="">
      <xdr:nvGraphicFramePr>
        <xdr:cNvPr id="9" name="Chart 8">
          <a:extLst>
            <a:ext uri="{FF2B5EF4-FFF2-40B4-BE49-F238E27FC236}">
              <a16:creationId xmlns:a16="http://schemas.microsoft.com/office/drawing/2014/main" id="{1756CBB4-6EAC-56D6-1BBE-F75DDC85B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511889</xdr:colOff>
      <xdr:row>115</xdr:row>
      <xdr:rowOff>112546</xdr:rowOff>
    </xdr:from>
    <xdr:to>
      <xdr:col>4</xdr:col>
      <xdr:colOff>679529</xdr:colOff>
      <xdr:row>122</xdr:row>
      <xdr:rowOff>158267</xdr:rowOff>
    </xdr:to>
    <xdr:graphicFrame macro="">
      <xdr:nvGraphicFramePr>
        <xdr:cNvPr id="10" name="Chart 9">
          <a:extLst>
            <a:ext uri="{FF2B5EF4-FFF2-40B4-BE49-F238E27FC236}">
              <a16:creationId xmlns:a16="http://schemas.microsoft.com/office/drawing/2014/main" id="{ADE1991D-63FC-1F31-E6E1-6AB2E751D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579119</xdr:colOff>
      <xdr:row>123</xdr:row>
      <xdr:rowOff>182070</xdr:rowOff>
    </xdr:from>
    <xdr:to>
      <xdr:col>6</xdr:col>
      <xdr:colOff>67432</xdr:colOff>
      <xdr:row>135</xdr:row>
      <xdr:rowOff>140969</xdr:rowOff>
    </xdr:to>
    <xdr:graphicFrame macro="">
      <xdr:nvGraphicFramePr>
        <xdr:cNvPr id="11" name="Chart 10">
          <a:extLst>
            <a:ext uri="{FF2B5EF4-FFF2-40B4-BE49-F238E27FC236}">
              <a16:creationId xmlns:a16="http://schemas.microsoft.com/office/drawing/2014/main" id="{7257042C-705C-F44D-5C09-6675245B8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652757</xdr:colOff>
      <xdr:row>37</xdr:row>
      <xdr:rowOff>95756</xdr:rowOff>
    </xdr:from>
    <xdr:to>
      <xdr:col>9</xdr:col>
      <xdr:colOff>188814</xdr:colOff>
      <xdr:row>51</xdr:row>
      <xdr:rowOff>13739</xdr:rowOff>
    </xdr:to>
    <mc:AlternateContent xmlns:mc="http://schemas.openxmlformats.org/markup-compatibility/2006">
      <mc:Choice xmlns:a14="http://schemas.microsoft.com/office/drawing/2010/main" Requires="a14">
        <xdr:graphicFrame macro="">
          <xdr:nvGraphicFramePr>
            <xdr:cNvPr id="3" name="Qtr_Id">
              <a:extLst>
                <a:ext uri="{FF2B5EF4-FFF2-40B4-BE49-F238E27FC236}">
                  <a16:creationId xmlns:a16="http://schemas.microsoft.com/office/drawing/2014/main" id="{4D00AE9B-17F8-EF79-D7C8-0D1277843D3C}"/>
                </a:ext>
              </a:extLst>
            </xdr:cNvPr>
            <xdr:cNvGraphicFramePr/>
          </xdr:nvGraphicFramePr>
          <xdr:xfrm>
            <a:off x="0" y="0"/>
            <a:ext cx="0" cy="0"/>
          </xdr:xfrm>
          <a:graphic>
            <a:graphicData uri="http://schemas.microsoft.com/office/drawing/2010/slicer">
              <sle:slicer xmlns:sle="http://schemas.microsoft.com/office/drawing/2010/slicer" name="Qtr_Id"/>
            </a:graphicData>
          </a:graphic>
        </xdr:graphicFrame>
      </mc:Choice>
      <mc:Fallback>
        <xdr:sp macro="" textlink="">
          <xdr:nvSpPr>
            <xdr:cNvPr id="0" name=""/>
            <xdr:cNvSpPr>
              <a:spLocks noTextEdit="1"/>
            </xdr:cNvSpPr>
          </xdr:nvSpPr>
          <xdr:spPr>
            <a:xfrm>
              <a:off x="7578191" y="683237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524634</xdr:colOff>
      <xdr:row>22</xdr:row>
      <xdr:rowOff>128393</xdr:rowOff>
    </xdr:from>
    <xdr:to>
      <xdr:col>9</xdr:col>
      <xdr:colOff>60691</xdr:colOff>
      <xdr:row>36</xdr:row>
      <xdr:rowOff>46377</xdr:rowOff>
    </xdr:to>
    <mc:AlternateContent xmlns:mc="http://schemas.openxmlformats.org/markup-compatibility/2006">
      <mc:Choice xmlns:a14="http://schemas.microsoft.com/office/drawing/2010/main" Requires="a14">
        <xdr:graphicFrame macro="">
          <xdr:nvGraphicFramePr>
            <xdr:cNvPr id="12" name="Year_Id">
              <a:extLst>
                <a:ext uri="{FF2B5EF4-FFF2-40B4-BE49-F238E27FC236}">
                  <a16:creationId xmlns:a16="http://schemas.microsoft.com/office/drawing/2014/main" id="{656A92A1-0417-8148-34FB-0BD07E4E5AE3}"/>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dr:sp macro="" textlink="">
          <xdr:nvSpPr>
            <xdr:cNvPr id="0" name=""/>
            <xdr:cNvSpPr>
              <a:spLocks noTextEdit="1"/>
            </xdr:cNvSpPr>
          </xdr:nvSpPr>
          <xdr:spPr>
            <a:xfrm>
              <a:off x="7450068" y="413395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12138</xdr:colOff>
      <xdr:row>58</xdr:row>
      <xdr:rowOff>16185</xdr:rowOff>
    </xdr:from>
    <xdr:to>
      <xdr:col>10</xdr:col>
      <xdr:colOff>13486</xdr:colOff>
      <xdr:row>71</xdr:row>
      <xdr:rowOff>116239</xdr:rowOff>
    </xdr:to>
    <mc:AlternateContent xmlns:mc="http://schemas.openxmlformats.org/markup-compatibility/2006">
      <mc:Choice xmlns:a14="http://schemas.microsoft.com/office/drawing/2010/main" Requires="a14">
        <xdr:graphicFrame macro="">
          <xdr:nvGraphicFramePr>
            <xdr:cNvPr id="13" name="Product line">
              <a:extLst>
                <a:ext uri="{FF2B5EF4-FFF2-40B4-BE49-F238E27FC236}">
                  <a16:creationId xmlns:a16="http://schemas.microsoft.com/office/drawing/2014/main" id="{5467BBE7-1AC9-9F9A-F9EB-9F22301D5F44}"/>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8009766" y="1057629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1043872</xdr:colOff>
      <xdr:row>72</xdr:row>
      <xdr:rowOff>107894</xdr:rowOff>
    </xdr:from>
    <xdr:to>
      <xdr:col>9</xdr:col>
      <xdr:colOff>579929</xdr:colOff>
      <xdr:row>86</xdr:row>
      <xdr:rowOff>25878</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B64D9DCD-09A9-9C38-346A-7A1BE1939A9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969306" y="1321699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423481</xdr:colOff>
      <xdr:row>100</xdr:row>
      <xdr:rowOff>148353</xdr:rowOff>
    </xdr:from>
    <xdr:to>
      <xdr:col>8</xdr:col>
      <xdr:colOff>249503</xdr:colOff>
      <xdr:row>114</xdr:row>
      <xdr:rowOff>66337</xdr:rowOff>
    </xdr:to>
    <mc:AlternateContent xmlns:mc="http://schemas.openxmlformats.org/markup-compatibility/2006">
      <mc:Choice xmlns:a14="http://schemas.microsoft.com/office/drawing/2010/main" Requires="a14">
        <xdr:graphicFrame macro="">
          <xdr:nvGraphicFramePr>
            <xdr:cNvPr id="15" name="Status">
              <a:extLst>
                <a:ext uri="{FF2B5EF4-FFF2-40B4-BE49-F238E27FC236}">
                  <a16:creationId xmlns:a16="http://schemas.microsoft.com/office/drawing/2014/main" id="{594BEB21-181B-63BC-D8A8-2858E73E090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6418331" y="1835543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342564</xdr:colOff>
      <xdr:row>93</xdr:row>
      <xdr:rowOff>40459</xdr:rowOff>
    </xdr:from>
    <xdr:to>
      <xdr:col>10</xdr:col>
      <xdr:colOff>343912</xdr:colOff>
      <xdr:row>106</xdr:row>
      <xdr:rowOff>140514</xdr:rowOff>
    </xdr:to>
    <mc:AlternateContent xmlns:mc="http://schemas.openxmlformats.org/markup-compatibility/2006">
      <mc:Choice xmlns:a14="http://schemas.microsoft.com/office/drawing/2010/main" Requires="a14">
        <xdr:graphicFrame macro="">
          <xdr:nvGraphicFramePr>
            <xdr:cNvPr id="16" name="Orderdate">
              <a:extLst>
                <a:ext uri="{FF2B5EF4-FFF2-40B4-BE49-F238E27FC236}">
                  <a16:creationId xmlns:a16="http://schemas.microsoft.com/office/drawing/2014/main" id="{FAC11335-A7D8-74A3-41D1-B90416E3CD5B}"/>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dr:sp macro="" textlink="">
          <xdr:nvSpPr>
            <xdr:cNvPr id="0" name=""/>
            <xdr:cNvSpPr>
              <a:spLocks noTextEdit="1"/>
            </xdr:cNvSpPr>
          </xdr:nvSpPr>
          <xdr:spPr>
            <a:xfrm>
              <a:off x="8340192" y="1697304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334000</xdr:colOff>
      <xdr:row>1</xdr:row>
      <xdr:rowOff>49096</xdr:rowOff>
    </xdr:from>
    <xdr:to>
      <xdr:col>20</xdr:col>
      <xdr:colOff>100643</xdr:colOff>
      <xdr:row>8</xdr:row>
      <xdr:rowOff>115019</xdr:rowOff>
    </xdr:to>
    <xdr:sp macro="" textlink="">
      <xdr:nvSpPr>
        <xdr:cNvPr id="2" name="Rectangle: Rounded Corners 1">
          <a:extLst>
            <a:ext uri="{FF2B5EF4-FFF2-40B4-BE49-F238E27FC236}">
              <a16:creationId xmlns:a16="http://schemas.microsoft.com/office/drawing/2014/main" id="{02319A95-A4FD-D115-5560-29BB7BC01186}"/>
            </a:ext>
          </a:extLst>
        </xdr:cNvPr>
        <xdr:cNvSpPr/>
      </xdr:nvSpPr>
      <xdr:spPr>
        <a:xfrm>
          <a:off x="6976340" y="236002"/>
          <a:ext cx="5201284" cy="1374262"/>
        </a:xfrm>
        <a:prstGeom prst="roundRect">
          <a:avLst/>
        </a:prstGeom>
        <a:gradFill>
          <a:gsLst>
            <a:gs pos="100000">
              <a:srgbClr val="11010C"/>
            </a:gs>
            <a:gs pos="2000">
              <a:schemeClr val="tx1"/>
            </a:gs>
            <a:gs pos="100000">
              <a:srgbClr val="851D69"/>
            </a:gs>
            <a:gs pos="0">
              <a:srgbClr val="6E0650"/>
            </a:gs>
            <a:gs pos="100000">
              <a:srgbClr val="6E0650"/>
            </a:gs>
            <a:gs pos="100000">
              <a:srgbClr val="F5CFF3"/>
            </a:gs>
          </a:gsLst>
          <a:lin ang="5400000" scaled="1"/>
        </a:gradFill>
        <a:ln w="63500">
          <a:solidFill>
            <a:schemeClr val="bg1"/>
          </a:solidFill>
        </a:ln>
        <a:effectLst>
          <a:glow>
            <a:schemeClr val="bg1">
              <a:lumMod val="95000"/>
              <a:alpha val="0"/>
            </a:schemeClr>
          </a:glow>
          <a:outerShdw blurRad="317500" algn="t" rotWithShape="0">
            <a:srgbClr val="E062DA">
              <a:alpha val="40000"/>
            </a:srgbClr>
          </a:outerShdw>
          <a:reflection blurRad="1270000" stA="0" dist="1270000" dir="5400000" sy="-100000" algn="bl" rotWithShape="0"/>
          <a:softEdge rad="0"/>
        </a:effectLst>
        <a:scene3d>
          <a:camera prst="perspectiveBelow"/>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8000" rtlCol="0" anchor="t"/>
        <a:lstStyle/>
        <a:p>
          <a:pPr marL="0" indent="0" algn="ctr"/>
          <a:r>
            <a:rPr lang="en-IN" sz="3600" b="1" i="0" u="none" strike="noStrike">
              <a:solidFill>
                <a:schemeClr val="bg1"/>
              </a:solidFill>
              <a:latin typeface="Calibri"/>
              <a:ea typeface="Calibri"/>
              <a:cs typeface="Calibri"/>
            </a:rPr>
            <a:t>Sales Performance &amp; Order Analysis</a:t>
          </a:r>
          <a:r>
            <a:rPr lang="en-IN" sz="3600" b="1" i="0" u="none" strike="noStrike" baseline="0">
              <a:solidFill>
                <a:schemeClr val="bg1"/>
              </a:solidFill>
              <a:latin typeface="Calibri"/>
              <a:ea typeface="Calibri"/>
              <a:cs typeface="Calibri"/>
            </a:rPr>
            <a:t> </a:t>
          </a:r>
          <a:r>
            <a:rPr lang="en-IN" sz="1100" b="1" i="0" u="none" strike="noStrike" baseline="0">
              <a:solidFill>
                <a:schemeClr val="lt1"/>
              </a:solidFill>
              <a:effectLst/>
              <a:latin typeface="+mn-lt"/>
              <a:ea typeface="+mn-ea"/>
              <a:cs typeface="+mn-cs"/>
            </a:rPr>
            <a:t> </a:t>
          </a:r>
        </a:p>
        <a:p>
          <a:pPr marL="0" indent="0" algn="ctr"/>
          <a:br>
            <a:rPr lang="en-IN" sz="1100" b="1" i="0" u="none" strike="noStrike" baseline="0">
              <a:solidFill>
                <a:schemeClr val="lt1"/>
              </a:solidFill>
              <a:effectLst/>
              <a:latin typeface="+mn-lt"/>
              <a:ea typeface="+mn-ea"/>
              <a:cs typeface="+mn-cs"/>
            </a:rPr>
          </a:br>
          <a:endParaRPr lang="en-IN" sz="3600" b="1" i="0" u="none" strike="noStrike">
            <a:solidFill>
              <a:schemeClr val="bg1"/>
            </a:solidFill>
            <a:latin typeface="Calibri"/>
            <a:ea typeface="Calibri"/>
            <a:cs typeface="Calibri"/>
          </a:endParaRPr>
        </a:p>
      </xdr:txBody>
    </xdr:sp>
    <xdr:clientData/>
  </xdr:twoCellAnchor>
  <xdr:twoCellAnchor>
    <xdr:from>
      <xdr:col>0</xdr:col>
      <xdr:colOff>123355</xdr:colOff>
      <xdr:row>9</xdr:row>
      <xdr:rowOff>41995</xdr:rowOff>
    </xdr:from>
    <xdr:to>
      <xdr:col>8</xdr:col>
      <xdr:colOff>48638</xdr:colOff>
      <xdr:row>26</xdr:row>
      <xdr:rowOff>104110</xdr:rowOff>
    </xdr:to>
    <xdr:graphicFrame macro="">
      <xdr:nvGraphicFramePr>
        <xdr:cNvPr id="3" name="Chart 2">
          <a:extLst>
            <a:ext uri="{FF2B5EF4-FFF2-40B4-BE49-F238E27FC236}">
              <a16:creationId xmlns:a16="http://schemas.microsoft.com/office/drawing/2014/main" id="{6F709C0E-79F5-4D68-9335-E16C2BF32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136071</xdr:colOff>
      <xdr:row>1</xdr:row>
      <xdr:rowOff>41117</xdr:rowOff>
    </xdr:from>
    <xdr:to>
      <xdr:col>3</xdr:col>
      <xdr:colOff>250209</xdr:colOff>
      <xdr:row>7</xdr:row>
      <xdr:rowOff>22746</xdr:rowOff>
    </xdr:to>
    <xdr:sp macro="" textlink="">
      <xdr:nvSpPr>
        <xdr:cNvPr id="5" name="Rectangle: Rounded Corners 4">
          <a:extLst>
            <a:ext uri="{FF2B5EF4-FFF2-40B4-BE49-F238E27FC236}">
              <a16:creationId xmlns:a16="http://schemas.microsoft.com/office/drawing/2014/main" id="{A6C53DBF-FCBB-3D4E-4B5C-198C2C5DE546}"/>
            </a:ext>
          </a:extLst>
        </xdr:cNvPr>
        <xdr:cNvSpPr/>
      </xdr:nvSpPr>
      <xdr:spPr>
        <a:xfrm>
          <a:off x="136071" y="223087"/>
          <a:ext cx="1956586" cy="1073450"/>
        </a:xfrm>
        <a:prstGeom prst="roundRect">
          <a:avLst/>
        </a:prstGeom>
        <a:solidFill>
          <a:schemeClr val="tx1"/>
        </a:solidFill>
        <a:ln w="63500">
          <a:solidFill>
            <a:schemeClr val="bg1">
              <a:alpha val="20000"/>
            </a:schemeClr>
          </a:solidFill>
        </a:ln>
        <a:effectLst>
          <a:glow rad="25400">
            <a:schemeClr val="bg1"/>
          </a:glow>
          <a:outerShdw blurRad="1270000" dist="50800" dir="5400000" sx="110000" sy="110000" algn="t" rotWithShape="0">
            <a:srgbClr val="6E0650">
              <a:alpha val="50000"/>
            </a:srgbClr>
          </a:outerShdw>
          <a:reflection blurRad="1270000" stA="0" dist="1270000" dir="5400000" sy="-100000" algn="bl" rotWithShape="0"/>
          <a:softEdge rad="0"/>
        </a:effectLst>
        <a:scene3d>
          <a:camera prst="perspectiveBelow"/>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8000" rtlCol="0" anchor="t"/>
        <a:lstStyle/>
        <a:p>
          <a:pPr marL="0" indent="0" algn="ctr"/>
          <a:r>
            <a:rPr lang="en-US" sz="1600" b="1" i="0" u="none" strike="noStrike">
              <a:solidFill>
                <a:srgbClr val="FFFFFF"/>
              </a:solidFill>
              <a:latin typeface="Calibri"/>
              <a:ea typeface="Calibri"/>
              <a:cs typeface="Calibri"/>
            </a:rPr>
            <a:t>TOTAL SALES</a:t>
          </a:r>
        </a:p>
      </xdr:txBody>
    </xdr:sp>
    <xdr:clientData/>
  </xdr:twoCellAnchor>
  <xdr:twoCellAnchor>
    <xdr:from>
      <xdr:col>0</xdr:col>
      <xdr:colOff>358132</xdr:colOff>
      <xdr:row>3</xdr:row>
      <xdr:rowOff>136478</xdr:rowOff>
    </xdr:from>
    <xdr:to>
      <xdr:col>3</xdr:col>
      <xdr:colOff>45491</xdr:colOff>
      <xdr:row>5</xdr:row>
      <xdr:rowOff>170597</xdr:rowOff>
    </xdr:to>
    <xdr:sp macro="" textlink="Chart!D10">
      <xdr:nvSpPr>
        <xdr:cNvPr id="6" name="Rectangle: Rounded Corners 5">
          <a:extLst>
            <a:ext uri="{FF2B5EF4-FFF2-40B4-BE49-F238E27FC236}">
              <a16:creationId xmlns:a16="http://schemas.microsoft.com/office/drawing/2014/main" id="{8662BD10-A05E-91DC-6971-4A5DD1012BFA}"/>
            </a:ext>
          </a:extLst>
        </xdr:cNvPr>
        <xdr:cNvSpPr/>
      </xdr:nvSpPr>
      <xdr:spPr>
        <a:xfrm>
          <a:off x="358132" y="682388"/>
          <a:ext cx="1529807" cy="398060"/>
        </a:xfrm>
        <a:prstGeom prst="roundRect">
          <a:avLst/>
        </a:prstGeom>
        <a:gradFill>
          <a:gsLst>
            <a:gs pos="0">
              <a:srgbClr val="FA94E9">
                <a:alpha val="0"/>
                <a:lumMod val="100000"/>
              </a:srgbClr>
            </a:gs>
            <a:gs pos="74000">
              <a:srgbClr val="FA94E9"/>
            </a:gs>
            <a:gs pos="83000">
              <a:srgbClr val="FA94E9"/>
            </a:gs>
            <a:gs pos="100000">
              <a:srgbClr val="F5CFF3"/>
            </a:gs>
          </a:gsLst>
          <a:lin ang="5400000" scaled="1"/>
        </a:gra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1B4E9CE-A51F-4EE4-A61C-2B96D28EA38D}" type="TxLink">
            <a:rPr lang="en-US" sz="1800" b="1" i="0" u="none" strike="noStrike">
              <a:solidFill>
                <a:schemeClr val="bg1"/>
              </a:solidFill>
              <a:latin typeface="Calibri"/>
              <a:ea typeface="Calibri"/>
              <a:cs typeface="Calibri"/>
            </a:rPr>
            <a:pPr algn="ctr"/>
            <a:t>₹ 37,06,593</a:t>
          </a:fld>
          <a:endParaRPr lang="en-IN" sz="1800" b="1">
            <a:solidFill>
              <a:schemeClr val="bg1"/>
            </a:solidFill>
          </a:endParaRPr>
        </a:p>
      </xdr:txBody>
    </xdr:sp>
    <xdr:clientData/>
  </xdr:twoCellAnchor>
  <xdr:twoCellAnchor>
    <xdr:from>
      <xdr:col>3</xdr:col>
      <xdr:colOff>557283</xdr:colOff>
      <xdr:row>1</xdr:row>
      <xdr:rowOff>23665</xdr:rowOff>
    </xdr:from>
    <xdr:to>
      <xdr:col>7</xdr:col>
      <xdr:colOff>90985</xdr:colOff>
      <xdr:row>7</xdr:row>
      <xdr:rowOff>22746</xdr:rowOff>
    </xdr:to>
    <xdr:sp macro="" textlink="">
      <xdr:nvSpPr>
        <xdr:cNvPr id="8" name="Rectangle: Rounded Corners 7">
          <a:extLst>
            <a:ext uri="{FF2B5EF4-FFF2-40B4-BE49-F238E27FC236}">
              <a16:creationId xmlns:a16="http://schemas.microsoft.com/office/drawing/2014/main" id="{A8EB8969-6FF9-4121-9C06-9595BE5A99AE}"/>
            </a:ext>
          </a:extLst>
        </xdr:cNvPr>
        <xdr:cNvSpPr/>
      </xdr:nvSpPr>
      <xdr:spPr>
        <a:xfrm>
          <a:off x="2399731" y="205635"/>
          <a:ext cx="1990299" cy="1090902"/>
        </a:xfrm>
        <a:prstGeom prst="roundRect">
          <a:avLst/>
        </a:prstGeom>
        <a:solidFill>
          <a:schemeClr val="tx1"/>
        </a:solidFill>
        <a:ln w="63500">
          <a:solidFill>
            <a:schemeClr val="bg1">
              <a:alpha val="20000"/>
            </a:schemeClr>
          </a:solidFill>
        </a:ln>
        <a:effectLst>
          <a:glow rad="25400">
            <a:schemeClr val="bg1"/>
          </a:glow>
          <a:outerShdw blurRad="1270000" dist="50800" dir="5400000" sx="110000" sy="110000" algn="t" rotWithShape="0">
            <a:srgbClr val="6E0650">
              <a:alpha val="50000"/>
            </a:srgbClr>
          </a:outerShdw>
          <a:reflection blurRad="1270000" stA="0" dist="1270000" dir="5400000" sy="-100000" algn="bl" rotWithShape="0"/>
          <a:softEdge rad="0"/>
        </a:effectLst>
        <a:scene3d>
          <a:camera prst="perspectiveBelow"/>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8000" rtlCol="0" anchor="t"/>
        <a:lstStyle/>
        <a:p>
          <a:pPr marL="0" indent="0" algn="ctr"/>
          <a:r>
            <a:rPr lang="en-US" sz="1600" b="1" i="0" u="none" strike="noStrike">
              <a:solidFill>
                <a:srgbClr val="FFFFFF"/>
              </a:solidFill>
              <a:latin typeface="Calibri"/>
              <a:ea typeface="Calibri"/>
              <a:cs typeface="Calibri"/>
            </a:rPr>
            <a:t>Total Orders</a:t>
          </a:r>
        </a:p>
      </xdr:txBody>
    </xdr:sp>
    <xdr:clientData/>
  </xdr:twoCellAnchor>
  <xdr:twoCellAnchor>
    <xdr:from>
      <xdr:col>7</xdr:col>
      <xdr:colOff>375313</xdr:colOff>
      <xdr:row>1</xdr:row>
      <xdr:rowOff>46632</xdr:rowOff>
    </xdr:from>
    <xdr:to>
      <xdr:col>10</xdr:col>
      <xdr:colOff>545911</xdr:colOff>
      <xdr:row>7</xdr:row>
      <xdr:rowOff>34119</xdr:rowOff>
    </xdr:to>
    <xdr:sp macro="" textlink="">
      <xdr:nvSpPr>
        <xdr:cNvPr id="9" name="Rectangle: Rounded Corners 8">
          <a:extLst>
            <a:ext uri="{FF2B5EF4-FFF2-40B4-BE49-F238E27FC236}">
              <a16:creationId xmlns:a16="http://schemas.microsoft.com/office/drawing/2014/main" id="{42FE232B-74F7-4772-B55A-16067E2D36E3}"/>
            </a:ext>
          </a:extLst>
        </xdr:cNvPr>
        <xdr:cNvSpPr/>
      </xdr:nvSpPr>
      <xdr:spPr>
        <a:xfrm>
          <a:off x="4674358" y="228602"/>
          <a:ext cx="2013046" cy="1079308"/>
        </a:xfrm>
        <a:prstGeom prst="roundRect">
          <a:avLst/>
        </a:prstGeom>
        <a:solidFill>
          <a:schemeClr val="tx1"/>
        </a:solidFill>
        <a:ln w="63500">
          <a:solidFill>
            <a:schemeClr val="bg1">
              <a:alpha val="20000"/>
            </a:schemeClr>
          </a:solidFill>
        </a:ln>
        <a:effectLst>
          <a:glow rad="25400">
            <a:schemeClr val="bg1"/>
          </a:glow>
          <a:outerShdw blurRad="1270000" dist="50800" dir="5400000" sx="110000" sy="110000" algn="t" rotWithShape="0">
            <a:srgbClr val="6E0650">
              <a:alpha val="50000"/>
            </a:srgbClr>
          </a:outerShdw>
          <a:reflection blurRad="1270000" stA="0" dist="1270000" dir="5400000" sy="-100000" algn="bl" rotWithShape="0"/>
          <a:softEdge rad="0"/>
        </a:effectLst>
        <a:scene3d>
          <a:camera prst="perspectiveBelow"/>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8000" rtlCol="0" anchor="t"/>
        <a:lstStyle/>
        <a:p>
          <a:pPr marL="0" indent="0" algn="ctr"/>
          <a:r>
            <a:rPr lang="en-US" sz="1600" b="1" i="0" u="none" strike="noStrike">
              <a:solidFill>
                <a:srgbClr val="FFFFFF"/>
              </a:solidFill>
              <a:latin typeface="Calibri"/>
              <a:ea typeface="Calibri"/>
              <a:cs typeface="Calibri"/>
            </a:rPr>
            <a:t>Total Quantity</a:t>
          </a:r>
        </a:p>
      </xdr:txBody>
    </xdr:sp>
    <xdr:clientData/>
  </xdr:twoCellAnchor>
  <xdr:twoCellAnchor>
    <xdr:from>
      <xdr:col>20</xdr:col>
      <xdr:colOff>484781</xdr:colOff>
      <xdr:row>1</xdr:row>
      <xdr:rowOff>43625</xdr:rowOff>
    </xdr:from>
    <xdr:to>
      <xdr:col>24</xdr:col>
      <xdr:colOff>181970</xdr:colOff>
      <xdr:row>7</xdr:row>
      <xdr:rowOff>79612</xdr:rowOff>
    </xdr:to>
    <xdr:sp macro="" textlink="">
      <xdr:nvSpPr>
        <xdr:cNvPr id="10" name="Rectangle: Rounded Corners 9">
          <a:extLst>
            <a:ext uri="{FF2B5EF4-FFF2-40B4-BE49-F238E27FC236}">
              <a16:creationId xmlns:a16="http://schemas.microsoft.com/office/drawing/2014/main" id="{761D9CB8-5054-49B9-B47B-A79E21125668}"/>
            </a:ext>
          </a:extLst>
        </xdr:cNvPr>
        <xdr:cNvSpPr/>
      </xdr:nvSpPr>
      <xdr:spPr>
        <a:xfrm>
          <a:off x="12767766" y="225595"/>
          <a:ext cx="2153786" cy="1127808"/>
        </a:xfrm>
        <a:prstGeom prst="roundRect">
          <a:avLst/>
        </a:prstGeom>
        <a:solidFill>
          <a:schemeClr val="tx1"/>
        </a:solidFill>
        <a:ln w="63500">
          <a:solidFill>
            <a:schemeClr val="bg1">
              <a:alpha val="20000"/>
            </a:schemeClr>
          </a:solidFill>
        </a:ln>
        <a:effectLst>
          <a:glow rad="25400">
            <a:schemeClr val="bg1"/>
          </a:glow>
          <a:outerShdw blurRad="1270000" dist="50800" dir="5400000" sx="110000" sy="110000" algn="t" rotWithShape="0">
            <a:srgbClr val="6E0650">
              <a:alpha val="50000"/>
            </a:srgbClr>
          </a:outerShdw>
          <a:reflection blurRad="1270000" stA="0" dist="1270000" dir="5400000" sy="-100000" algn="bl" rotWithShape="0"/>
          <a:softEdge rad="0"/>
        </a:effectLst>
        <a:scene3d>
          <a:camera prst="perspectiveBelow"/>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8000" rtlCol="0" anchor="t"/>
        <a:lstStyle/>
        <a:p>
          <a:pPr marL="0" indent="0" algn="ctr"/>
          <a:r>
            <a:rPr lang="en-US" sz="1600" b="1" i="0" u="none" strike="noStrike">
              <a:solidFill>
                <a:srgbClr val="FFFFFF"/>
              </a:solidFill>
              <a:latin typeface="Calibri"/>
              <a:ea typeface="Calibri"/>
              <a:cs typeface="Calibri"/>
            </a:rPr>
            <a:t>Avg Order Value</a:t>
          </a:r>
        </a:p>
      </xdr:txBody>
    </xdr:sp>
    <xdr:clientData/>
  </xdr:twoCellAnchor>
  <xdr:twoCellAnchor>
    <xdr:from>
      <xdr:col>24</xdr:col>
      <xdr:colOff>500615</xdr:colOff>
      <xdr:row>1</xdr:row>
      <xdr:rowOff>47792</xdr:rowOff>
    </xdr:from>
    <xdr:to>
      <xdr:col>28</xdr:col>
      <xdr:colOff>216090</xdr:colOff>
      <xdr:row>7</xdr:row>
      <xdr:rowOff>102358</xdr:rowOff>
    </xdr:to>
    <xdr:sp macro="" textlink="">
      <xdr:nvSpPr>
        <xdr:cNvPr id="11" name="Rectangle: Rounded Corners 10">
          <a:extLst>
            <a:ext uri="{FF2B5EF4-FFF2-40B4-BE49-F238E27FC236}">
              <a16:creationId xmlns:a16="http://schemas.microsoft.com/office/drawing/2014/main" id="{D453AD8B-ED6B-4757-9334-F41640AC6935}"/>
            </a:ext>
          </a:extLst>
        </xdr:cNvPr>
        <xdr:cNvSpPr/>
      </xdr:nvSpPr>
      <xdr:spPr>
        <a:xfrm>
          <a:off x="15240197" y="229762"/>
          <a:ext cx="2172072" cy="1146387"/>
        </a:xfrm>
        <a:prstGeom prst="roundRect">
          <a:avLst/>
        </a:prstGeom>
        <a:solidFill>
          <a:schemeClr val="tx1"/>
        </a:solidFill>
        <a:ln w="63500">
          <a:solidFill>
            <a:schemeClr val="bg1">
              <a:alpha val="20000"/>
            </a:schemeClr>
          </a:solidFill>
        </a:ln>
        <a:effectLst>
          <a:glow rad="25400">
            <a:schemeClr val="bg1"/>
          </a:glow>
          <a:outerShdw blurRad="1270000" dist="50800" dir="5400000" sx="110000" sy="110000" algn="t" rotWithShape="0">
            <a:srgbClr val="6E0650">
              <a:alpha val="50000"/>
            </a:srgbClr>
          </a:outerShdw>
          <a:reflection blurRad="1270000" stA="0" dist="1270000" dir="5400000" sy="-100000" algn="bl" rotWithShape="0"/>
          <a:softEdge rad="0"/>
        </a:effectLst>
        <a:scene3d>
          <a:camera prst="perspectiveBelow"/>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8000" rtlCol="0" anchor="t"/>
        <a:lstStyle/>
        <a:p>
          <a:pPr marL="0" indent="0" algn="ctr"/>
          <a:r>
            <a:rPr lang="en-US" sz="1600" b="1" i="0" u="none" strike="noStrike">
              <a:solidFill>
                <a:srgbClr val="FFFFFF"/>
              </a:solidFill>
              <a:latin typeface="Calibri"/>
              <a:ea typeface="Calibri"/>
              <a:cs typeface="Calibri"/>
            </a:rPr>
            <a:t>Averge Price </a:t>
          </a:r>
        </a:p>
      </xdr:txBody>
    </xdr:sp>
    <xdr:clientData/>
  </xdr:twoCellAnchor>
  <xdr:twoCellAnchor>
    <xdr:from>
      <xdr:col>4</xdr:col>
      <xdr:colOff>166763</xdr:colOff>
      <xdr:row>3</xdr:row>
      <xdr:rowOff>159225</xdr:rowOff>
    </xdr:from>
    <xdr:to>
      <xdr:col>6</xdr:col>
      <xdr:colOff>466297</xdr:colOff>
      <xdr:row>6</xdr:row>
      <xdr:rowOff>0</xdr:rowOff>
    </xdr:to>
    <xdr:sp macro="" textlink="Chart!E10">
      <xdr:nvSpPr>
        <xdr:cNvPr id="12" name="Rectangle: Rounded Corners 11">
          <a:extLst>
            <a:ext uri="{FF2B5EF4-FFF2-40B4-BE49-F238E27FC236}">
              <a16:creationId xmlns:a16="http://schemas.microsoft.com/office/drawing/2014/main" id="{0AF999BD-9DA0-4ED1-8B5B-8977692A81FB}"/>
            </a:ext>
          </a:extLst>
        </xdr:cNvPr>
        <xdr:cNvSpPr/>
      </xdr:nvSpPr>
      <xdr:spPr>
        <a:xfrm>
          <a:off x="2623360" y="705135"/>
          <a:ext cx="1527833" cy="386686"/>
        </a:xfrm>
        <a:prstGeom prst="roundRect">
          <a:avLst/>
        </a:prstGeom>
        <a:gradFill>
          <a:gsLst>
            <a:gs pos="0">
              <a:srgbClr val="FA94E9">
                <a:alpha val="0"/>
                <a:lumMod val="100000"/>
              </a:srgbClr>
            </a:gs>
            <a:gs pos="74000">
              <a:srgbClr val="FA94E9"/>
            </a:gs>
            <a:gs pos="83000">
              <a:srgbClr val="FA94E9"/>
            </a:gs>
            <a:gs pos="100000">
              <a:srgbClr val="F5CFF3"/>
            </a:gs>
          </a:gsLst>
          <a:lin ang="5400000" scaled="1"/>
        </a:gra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721B3A4-373B-4245-B90B-DEAC022D6E6A}" type="TxLink">
            <a:rPr lang="en-US" sz="1800" b="1" i="0" u="none" strike="noStrike">
              <a:solidFill>
                <a:schemeClr val="bg1"/>
              </a:solidFill>
              <a:latin typeface="Calibri"/>
              <a:ea typeface="Calibri"/>
              <a:cs typeface="Calibri"/>
            </a:rPr>
            <a:pPr algn="ctr"/>
            <a:t>₹ 137</a:t>
          </a:fld>
          <a:endParaRPr lang="en-IN" sz="1800" b="1">
            <a:solidFill>
              <a:schemeClr val="bg1"/>
            </a:solidFill>
          </a:endParaRPr>
        </a:p>
      </xdr:txBody>
    </xdr:sp>
    <xdr:clientData/>
  </xdr:twoCellAnchor>
  <xdr:twoCellAnchor>
    <xdr:from>
      <xdr:col>25</xdr:col>
      <xdr:colOff>101853</xdr:colOff>
      <xdr:row>3</xdr:row>
      <xdr:rowOff>170598</xdr:rowOff>
    </xdr:from>
    <xdr:to>
      <xdr:col>27</xdr:col>
      <xdr:colOff>568657</xdr:colOff>
      <xdr:row>6</xdr:row>
      <xdr:rowOff>45493</xdr:rowOff>
    </xdr:to>
    <xdr:sp macro="" textlink="Chart!H10">
      <xdr:nvSpPr>
        <xdr:cNvPr id="13" name="Rectangle: Rounded Corners 12">
          <a:extLst>
            <a:ext uri="{FF2B5EF4-FFF2-40B4-BE49-F238E27FC236}">
              <a16:creationId xmlns:a16="http://schemas.microsoft.com/office/drawing/2014/main" id="{2BFFE16D-C3D7-4B5B-9E25-5B0F923C3C8B}"/>
            </a:ext>
          </a:extLst>
        </xdr:cNvPr>
        <xdr:cNvSpPr/>
      </xdr:nvSpPr>
      <xdr:spPr>
        <a:xfrm>
          <a:off x="15455584" y="716508"/>
          <a:ext cx="1695103" cy="420806"/>
        </a:xfrm>
        <a:prstGeom prst="roundRect">
          <a:avLst/>
        </a:prstGeom>
        <a:gradFill>
          <a:gsLst>
            <a:gs pos="0">
              <a:srgbClr val="FA94E9">
                <a:alpha val="0"/>
                <a:lumMod val="100000"/>
              </a:srgbClr>
            </a:gs>
            <a:gs pos="74000">
              <a:srgbClr val="FA94E9"/>
            </a:gs>
            <a:gs pos="83000">
              <a:srgbClr val="FA94E9"/>
            </a:gs>
            <a:gs pos="100000">
              <a:srgbClr val="F5CFF3"/>
            </a:gs>
          </a:gsLst>
          <a:lin ang="5400000" scaled="1"/>
        </a:gra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97C6180-3074-4447-962E-DEB00B4543A5}" type="TxLink">
            <a:rPr lang="en-US" sz="1800" b="1" i="0" u="none" strike="noStrike">
              <a:solidFill>
                <a:schemeClr val="bg1"/>
              </a:solidFill>
              <a:latin typeface="Calibri"/>
              <a:ea typeface="Calibri"/>
              <a:cs typeface="Calibri"/>
            </a:rPr>
            <a:pPr marL="0" indent="0" algn="ctr"/>
            <a:t>₹ 83.75</a:t>
          </a:fld>
          <a:endParaRPr lang="en-IN" sz="1800" b="1" i="0" u="none" strike="noStrike">
            <a:solidFill>
              <a:schemeClr val="bg1"/>
            </a:solidFill>
            <a:latin typeface="Calibri"/>
            <a:ea typeface="Calibri"/>
            <a:cs typeface="Calibri"/>
          </a:endParaRPr>
        </a:p>
      </xdr:txBody>
    </xdr:sp>
    <xdr:clientData/>
  </xdr:twoCellAnchor>
  <xdr:twoCellAnchor>
    <xdr:from>
      <xdr:col>21</xdr:col>
      <xdr:colOff>102359</xdr:colOff>
      <xdr:row>3</xdr:row>
      <xdr:rowOff>136478</xdr:rowOff>
    </xdr:from>
    <xdr:to>
      <xdr:col>24</xdr:col>
      <xdr:colOff>34119</xdr:colOff>
      <xdr:row>6</xdr:row>
      <xdr:rowOff>22746</xdr:rowOff>
    </xdr:to>
    <xdr:sp macro="" textlink="Chart!G10">
      <xdr:nvSpPr>
        <xdr:cNvPr id="14" name="Rectangle: Rounded Corners 13">
          <a:extLst>
            <a:ext uri="{FF2B5EF4-FFF2-40B4-BE49-F238E27FC236}">
              <a16:creationId xmlns:a16="http://schemas.microsoft.com/office/drawing/2014/main" id="{D3E2A733-5F21-4DAE-8FC3-6098B8545C81}"/>
            </a:ext>
          </a:extLst>
        </xdr:cNvPr>
        <xdr:cNvSpPr/>
      </xdr:nvSpPr>
      <xdr:spPr>
        <a:xfrm>
          <a:off x="12999493" y="682388"/>
          <a:ext cx="1774208" cy="432179"/>
        </a:xfrm>
        <a:prstGeom prst="roundRect">
          <a:avLst/>
        </a:prstGeom>
        <a:gradFill>
          <a:gsLst>
            <a:gs pos="0">
              <a:srgbClr val="FA94E9">
                <a:alpha val="0"/>
                <a:lumMod val="100000"/>
              </a:srgbClr>
            </a:gs>
            <a:gs pos="74000">
              <a:srgbClr val="FA94E9"/>
            </a:gs>
            <a:gs pos="83000">
              <a:srgbClr val="FA94E9"/>
            </a:gs>
            <a:gs pos="100000">
              <a:srgbClr val="F5CFF3"/>
            </a:gs>
          </a:gsLst>
          <a:lin ang="5400000" scaled="1"/>
        </a:gra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71284EC-A1EA-4B60-A984-9963E3DD8B1A}" type="TxLink">
            <a:rPr lang="en-US" sz="1800" b="1" i="0" u="none" strike="noStrike">
              <a:solidFill>
                <a:schemeClr val="bg1"/>
              </a:solidFill>
              <a:latin typeface="Calibri"/>
              <a:ea typeface="Calibri"/>
              <a:cs typeface="Calibri"/>
            </a:rPr>
            <a:pPr marL="0" indent="0" algn="ctr"/>
            <a:t>₹ 27,055.42</a:t>
          </a:fld>
          <a:endParaRPr lang="en-IN" sz="1800" b="1" i="0" u="none" strike="noStrike">
            <a:solidFill>
              <a:schemeClr val="bg1"/>
            </a:solidFill>
            <a:latin typeface="Calibri"/>
            <a:ea typeface="Calibri"/>
            <a:cs typeface="Calibri"/>
          </a:endParaRPr>
        </a:p>
      </xdr:txBody>
    </xdr:sp>
    <xdr:clientData/>
  </xdr:twoCellAnchor>
  <xdr:twoCellAnchor>
    <xdr:from>
      <xdr:col>7</xdr:col>
      <xdr:colOff>591400</xdr:colOff>
      <xdr:row>4</xdr:row>
      <xdr:rowOff>11373</xdr:rowOff>
    </xdr:from>
    <xdr:to>
      <xdr:col>10</xdr:col>
      <xdr:colOff>352565</xdr:colOff>
      <xdr:row>6</xdr:row>
      <xdr:rowOff>34119</xdr:rowOff>
    </xdr:to>
    <xdr:sp macro="" textlink="Chart!F10">
      <xdr:nvSpPr>
        <xdr:cNvPr id="15" name="Rectangle: Rounded Corners 14">
          <a:extLst>
            <a:ext uri="{FF2B5EF4-FFF2-40B4-BE49-F238E27FC236}">
              <a16:creationId xmlns:a16="http://schemas.microsoft.com/office/drawing/2014/main" id="{B12403AA-F6AE-4217-8DF8-1086AA33C420}"/>
            </a:ext>
          </a:extLst>
        </xdr:cNvPr>
        <xdr:cNvSpPr/>
      </xdr:nvSpPr>
      <xdr:spPr>
        <a:xfrm>
          <a:off x="4890445" y="739254"/>
          <a:ext cx="1603613" cy="386686"/>
        </a:xfrm>
        <a:prstGeom prst="roundRect">
          <a:avLst/>
        </a:prstGeom>
        <a:gradFill>
          <a:gsLst>
            <a:gs pos="0">
              <a:srgbClr val="FA94E9">
                <a:alpha val="0"/>
                <a:lumMod val="100000"/>
              </a:srgbClr>
            </a:gs>
            <a:gs pos="74000">
              <a:srgbClr val="FA94E9"/>
            </a:gs>
            <a:gs pos="83000">
              <a:srgbClr val="FA94E9"/>
            </a:gs>
            <a:gs pos="100000">
              <a:srgbClr val="F5CFF3"/>
            </a:gs>
          </a:gsLst>
          <a:lin ang="5400000" scaled="1"/>
        </a:gra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2201185-CDE3-45E2-B469-7F8A171AAE62}" type="TxLink">
            <a:rPr lang="en-US" sz="1800" b="1" i="0" u="none" strike="noStrike">
              <a:solidFill>
                <a:schemeClr val="bg1"/>
              </a:solidFill>
              <a:latin typeface="Calibri"/>
              <a:ea typeface="Calibri"/>
              <a:cs typeface="Calibri"/>
            </a:rPr>
            <a:pPr marL="0" indent="0" algn="ctr"/>
            <a:t>₹ 44,296</a:t>
          </a:fld>
          <a:endParaRPr lang="en-IN" sz="1800" b="1" i="0" u="none" strike="noStrike">
            <a:solidFill>
              <a:schemeClr val="bg1"/>
            </a:solidFill>
            <a:latin typeface="Calibri"/>
            <a:ea typeface="Calibri"/>
            <a:cs typeface="Calibri"/>
          </a:endParaRPr>
        </a:p>
      </xdr:txBody>
    </xdr:sp>
    <xdr:clientData/>
  </xdr:twoCellAnchor>
  <xdr:twoCellAnchor>
    <xdr:from>
      <xdr:col>0</xdr:col>
      <xdr:colOff>145982</xdr:colOff>
      <xdr:row>27</xdr:row>
      <xdr:rowOff>40533</xdr:rowOff>
    </xdr:from>
    <xdr:to>
      <xdr:col>8</xdr:col>
      <xdr:colOff>32425</xdr:colOff>
      <xdr:row>46</xdr:row>
      <xdr:rowOff>117231</xdr:rowOff>
    </xdr:to>
    <xdr:graphicFrame macro="">
      <xdr:nvGraphicFramePr>
        <xdr:cNvPr id="4" name="Chart 3">
          <a:extLst>
            <a:ext uri="{FF2B5EF4-FFF2-40B4-BE49-F238E27FC236}">
              <a16:creationId xmlns:a16="http://schemas.microsoft.com/office/drawing/2014/main" id="{47DE9BB8-8D6A-4DF9-9B88-C3A590E39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162127</xdr:colOff>
      <xdr:row>9</xdr:row>
      <xdr:rowOff>79611</xdr:rowOff>
    </xdr:from>
    <xdr:to>
      <xdr:col>32</xdr:col>
      <xdr:colOff>259405</xdr:colOff>
      <xdr:row>26</xdr:row>
      <xdr:rowOff>159224</xdr:rowOff>
    </xdr:to>
    <xdr:graphicFrame macro="">
      <xdr:nvGraphicFramePr>
        <xdr:cNvPr id="7" name="Chart 6">
          <a:extLst>
            <a:ext uri="{FF2B5EF4-FFF2-40B4-BE49-F238E27FC236}">
              <a16:creationId xmlns:a16="http://schemas.microsoft.com/office/drawing/2014/main" id="{C85590AA-EE92-4E3F-85EA-362BFC6F5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178875</xdr:colOff>
      <xdr:row>9</xdr:row>
      <xdr:rowOff>50449</xdr:rowOff>
    </xdr:from>
    <xdr:to>
      <xdr:col>15</xdr:col>
      <xdr:colOff>583659</xdr:colOff>
      <xdr:row>26</xdr:row>
      <xdr:rowOff>152807</xdr:rowOff>
    </xdr:to>
    <xdr:graphicFrame macro="">
      <xdr:nvGraphicFramePr>
        <xdr:cNvPr id="16" name="Chart 15">
          <a:extLst>
            <a:ext uri="{FF2B5EF4-FFF2-40B4-BE49-F238E27FC236}">
              <a16:creationId xmlns:a16="http://schemas.microsoft.com/office/drawing/2014/main" id="{43AB3B63-A7CF-4883-8B84-B2D28D20A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145914</xdr:colOff>
      <xdr:row>27</xdr:row>
      <xdr:rowOff>102358</xdr:rowOff>
    </xdr:from>
    <xdr:to>
      <xdr:col>32</xdr:col>
      <xdr:colOff>259405</xdr:colOff>
      <xdr:row>46</xdr:row>
      <xdr:rowOff>114565</xdr:rowOff>
    </xdr:to>
    <xdr:graphicFrame macro="">
      <xdr:nvGraphicFramePr>
        <xdr:cNvPr id="17" name="Chart 16">
          <a:extLst>
            <a:ext uri="{FF2B5EF4-FFF2-40B4-BE49-F238E27FC236}">
              <a16:creationId xmlns:a16="http://schemas.microsoft.com/office/drawing/2014/main" id="{CB6CC4A6-BB83-4001-A3F9-BB716B606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158286</xdr:colOff>
      <xdr:row>27</xdr:row>
      <xdr:rowOff>75069</xdr:rowOff>
    </xdr:from>
    <xdr:to>
      <xdr:col>15</xdr:col>
      <xdr:colOff>599872</xdr:colOff>
      <xdr:row>46</xdr:row>
      <xdr:rowOff>129701</xdr:rowOff>
    </xdr:to>
    <xdr:graphicFrame macro="">
      <xdr:nvGraphicFramePr>
        <xdr:cNvPr id="18" name="Chart 17">
          <a:extLst>
            <a:ext uri="{FF2B5EF4-FFF2-40B4-BE49-F238E27FC236}">
              <a16:creationId xmlns:a16="http://schemas.microsoft.com/office/drawing/2014/main" id="{BB958596-D465-4DAA-9E60-C839C6FD8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115324</xdr:colOff>
      <xdr:row>27</xdr:row>
      <xdr:rowOff>78212</xdr:rowOff>
    </xdr:from>
    <xdr:to>
      <xdr:col>24</xdr:col>
      <xdr:colOff>34260</xdr:colOff>
      <xdr:row>46</xdr:row>
      <xdr:rowOff>115019</xdr:rowOff>
    </xdr:to>
    <xdr:graphicFrame macro="">
      <xdr:nvGraphicFramePr>
        <xdr:cNvPr id="19" name="Chart 18">
          <a:extLst>
            <a:ext uri="{FF2B5EF4-FFF2-40B4-BE49-F238E27FC236}">
              <a16:creationId xmlns:a16="http://schemas.microsoft.com/office/drawing/2014/main" id="{E00E588E-BDC9-48F8-B34C-D84F7AFB2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115911</xdr:colOff>
      <xdr:row>9</xdr:row>
      <xdr:rowOff>50331</xdr:rowOff>
    </xdr:from>
    <xdr:to>
      <xdr:col>24</xdr:col>
      <xdr:colOff>16212</xdr:colOff>
      <xdr:row>26</xdr:row>
      <xdr:rowOff>145915</xdr:rowOff>
    </xdr:to>
    <xdr:graphicFrame macro="">
      <xdr:nvGraphicFramePr>
        <xdr:cNvPr id="20" name="Chart 19">
          <a:extLst>
            <a:ext uri="{FF2B5EF4-FFF2-40B4-BE49-F238E27FC236}">
              <a16:creationId xmlns:a16="http://schemas.microsoft.com/office/drawing/2014/main" id="{1FB7C536-2B26-43A5-80D4-3F0D07372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568657</xdr:colOff>
      <xdr:row>1</xdr:row>
      <xdr:rowOff>47791</xdr:rowOff>
    </xdr:from>
    <xdr:to>
      <xdr:col>32</xdr:col>
      <xdr:colOff>238836</xdr:colOff>
      <xdr:row>7</xdr:row>
      <xdr:rowOff>113731</xdr:rowOff>
    </xdr:to>
    <xdr:sp macro="" textlink="">
      <xdr:nvSpPr>
        <xdr:cNvPr id="21" name="Rectangle: Rounded Corners 20">
          <a:extLst>
            <a:ext uri="{FF2B5EF4-FFF2-40B4-BE49-F238E27FC236}">
              <a16:creationId xmlns:a16="http://schemas.microsoft.com/office/drawing/2014/main" id="{609CE6F6-A7B7-4535-BC69-29E7A97AB4FA}"/>
            </a:ext>
          </a:extLst>
        </xdr:cNvPr>
        <xdr:cNvSpPr/>
      </xdr:nvSpPr>
      <xdr:spPr>
        <a:xfrm>
          <a:off x="17764836" y="229761"/>
          <a:ext cx="2126776" cy="1157761"/>
        </a:xfrm>
        <a:prstGeom prst="roundRect">
          <a:avLst/>
        </a:prstGeom>
        <a:solidFill>
          <a:schemeClr val="tx1"/>
        </a:solidFill>
        <a:ln w="63500">
          <a:solidFill>
            <a:schemeClr val="bg1">
              <a:alpha val="20000"/>
            </a:schemeClr>
          </a:solidFill>
        </a:ln>
        <a:effectLst>
          <a:glow rad="25400">
            <a:schemeClr val="bg1"/>
          </a:glow>
          <a:outerShdw blurRad="1270000" dist="50800" dir="5400000" sx="110000" sy="110000" algn="t" rotWithShape="0">
            <a:srgbClr val="6E0650">
              <a:alpha val="50000"/>
            </a:srgbClr>
          </a:outerShdw>
          <a:reflection blurRad="1270000" stA="0" dist="1270000" dir="5400000" sy="-100000" algn="bl" rotWithShape="0"/>
          <a:softEdge rad="0"/>
        </a:effectLst>
        <a:scene3d>
          <a:camera prst="perspectiveBelow"/>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8000" rtlCol="0" anchor="t"/>
        <a:lstStyle/>
        <a:p>
          <a:pPr marL="0" indent="0" algn="ctr"/>
          <a:r>
            <a:rPr lang="en-US" sz="1600" b="1" i="0" u="none" strike="noStrike">
              <a:solidFill>
                <a:srgbClr val="FFFFFF"/>
              </a:solidFill>
              <a:latin typeface="Calibri"/>
              <a:ea typeface="Calibri"/>
              <a:cs typeface="Calibri"/>
            </a:rPr>
            <a:t>Total Customers </a:t>
          </a:r>
        </a:p>
      </xdr:txBody>
    </xdr:sp>
    <xdr:clientData/>
  </xdr:twoCellAnchor>
  <xdr:twoCellAnchor>
    <xdr:from>
      <xdr:col>29</xdr:col>
      <xdr:colOff>194465</xdr:colOff>
      <xdr:row>4</xdr:row>
      <xdr:rowOff>22746</xdr:rowOff>
    </xdr:from>
    <xdr:to>
      <xdr:col>32</xdr:col>
      <xdr:colOff>11373</xdr:colOff>
      <xdr:row>6</xdr:row>
      <xdr:rowOff>79611</xdr:rowOff>
    </xdr:to>
    <xdr:sp macro="" textlink="Chart!I10">
      <xdr:nvSpPr>
        <xdr:cNvPr id="22" name="Rectangle: Rounded Corners 21">
          <a:extLst>
            <a:ext uri="{FF2B5EF4-FFF2-40B4-BE49-F238E27FC236}">
              <a16:creationId xmlns:a16="http://schemas.microsoft.com/office/drawing/2014/main" id="{83222842-C87C-4CA8-A399-B672E57C86B2}"/>
            </a:ext>
          </a:extLst>
        </xdr:cNvPr>
        <xdr:cNvSpPr/>
      </xdr:nvSpPr>
      <xdr:spPr>
        <a:xfrm>
          <a:off x="18004793" y="750627"/>
          <a:ext cx="1659356" cy="420805"/>
        </a:xfrm>
        <a:prstGeom prst="roundRect">
          <a:avLst/>
        </a:prstGeom>
        <a:gradFill>
          <a:gsLst>
            <a:gs pos="0">
              <a:srgbClr val="FA94E9">
                <a:alpha val="0"/>
                <a:lumMod val="100000"/>
              </a:srgbClr>
            </a:gs>
            <a:gs pos="74000">
              <a:srgbClr val="FA94E9"/>
            </a:gs>
            <a:gs pos="83000">
              <a:srgbClr val="FA94E9"/>
            </a:gs>
            <a:gs pos="100000">
              <a:srgbClr val="F5CFF3"/>
            </a:gs>
          </a:gsLst>
          <a:lin ang="5400000" scaled="1"/>
        </a:gra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53770CE-E285-4896-83B2-6571BD8622B2}" type="TxLink">
            <a:rPr lang="en-US" sz="1800" b="1" i="0" u="none" strike="noStrike">
              <a:solidFill>
                <a:schemeClr val="bg1"/>
              </a:solidFill>
              <a:latin typeface="Calibri"/>
              <a:ea typeface="Calibri"/>
              <a:cs typeface="Calibri"/>
            </a:rPr>
            <a:pPr marL="0" indent="0" algn="ctr"/>
            <a:t>₹ 43</a:t>
          </a:fld>
          <a:endParaRPr lang="en-IN" sz="1800" b="1" i="0" u="none" strike="noStrike">
            <a:solidFill>
              <a:schemeClr val="bg1"/>
            </a:solidFill>
            <a:latin typeface="Calibri"/>
            <a:ea typeface="Calibri"/>
            <a:cs typeface="Calibri"/>
          </a:endParaRPr>
        </a:p>
      </xdr:txBody>
    </xdr:sp>
    <xdr:clientData/>
  </xdr:twoCellAnchor>
  <xdr:twoCellAnchor editAs="oneCell">
    <xdr:from>
      <xdr:col>32</xdr:col>
      <xdr:colOff>517585</xdr:colOff>
      <xdr:row>9</xdr:row>
      <xdr:rowOff>86265</xdr:rowOff>
    </xdr:from>
    <xdr:to>
      <xdr:col>35</xdr:col>
      <xdr:colOff>534838</xdr:colOff>
      <xdr:row>22</xdr:row>
      <xdr:rowOff>123466</xdr:rowOff>
    </xdr:to>
    <mc:AlternateContent xmlns:mc="http://schemas.openxmlformats.org/markup-compatibility/2006">
      <mc:Choice xmlns:a14="http://schemas.microsoft.com/office/drawing/2010/main" Requires="a14">
        <xdr:graphicFrame macro="">
          <xdr:nvGraphicFramePr>
            <xdr:cNvPr id="24" name="Qtr_Id 2">
              <a:extLst>
                <a:ext uri="{FF2B5EF4-FFF2-40B4-BE49-F238E27FC236}">
                  <a16:creationId xmlns:a16="http://schemas.microsoft.com/office/drawing/2014/main" id="{5C55147B-92C2-4D26-BD04-C394BA4EEA31}"/>
                </a:ext>
              </a:extLst>
            </xdr:cNvPr>
            <xdr:cNvGraphicFramePr/>
          </xdr:nvGraphicFramePr>
          <xdr:xfrm>
            <a:off x="0" y="0"/>
            <a:ext cx="0" cy="0"/>
          </xdr:xfrm>
          <a:graphic>
            <a:graphicData uri="http://schemas.microsoft.com/office/drawing/2010/slicer">
              <sle:slicer xmlns:sle="http://schemas.microsoft.com/office/drawing/2010/slicer" name="Qtr_Id 2"/>
            </a:graphicData>
          </a:graphic>
        </xdr:graphicFrame>
      </mc:Choice>
      <mc:Fallback>
        <xdr:sp macro="" textlink="">
          <xdr:nvSpPr>
            <xdr:cNvPr id="0" name=""/>
            <xdr:cNvSpPr>
              <a:spLocks noTextEdit="1"/>
            </xdr:cNvSpPr>
          </xdr:nvSpPr>
          <xdr:spPr>
            <a:xfrm>
              <a:off x="19840755" y="176841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546340</xdr:colOff>
      <xdr:row>9</xdr:row>
      <xdr:rowOff>86265</xdr:rowOff>
    </xdr:from>
    <xdr:to>
      <xdr:col>38</xdr:col>
      <xdr:colOff>563593</xdr:colOff>
      <xdr:row>22</xdr:row>
      <xdr:rowOff>123466</xdr:rowOff>
    </xdr:to>
    <mc:AlternateContent xmlns:mc="http://schemas.openxmlformats.org/markup-compatibility/2006">
      <mc:Choice xmlns:a14="http://schemas.microsoft.com/office/drawing/2010/main" Requires="a14">
        <xdr:graphicFrame macro="">
          <xdr:nvGraphicFramePr>
            <xdr:cNvPr id="26" name="Year_Id 1">
              <a:extLst>
                <a:ext uri="{FF2B5EF4-FFF2-40B4-BE49-F238E27FC236}">
                  <a16:creationId xmlns:a16="http://schemas.microsoft.com/office/drawing/2014/main" id="{3FEAF3B1-4367-42E1-8960-817C26B8F392}"/>
                </a:ext>
              </a:extLst>
            </xdr:cNvPr>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dr:sp macro="" textlink="">
          <xdr:nvSpPr>
            <xdr:cNvPr id="0" name=""/>
            <xdr:cNvSpPr>
              <a:spLocks noTextEdit="1"/>
            </xdr:cNvSpPr>
          </xdr:nvSpPr>
          <xdr:spPr>
            <a:xfrm>
              <a:off x="21681057" y="176841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0</xdr:colOff>
      <xdr:row>25</xdr:row>
      <xdr:rowOff>0</xdr:rowOff>
    </xdr:from>
    <xdr:to>
      <xdr:col>36</xdr:col>
      <xdr:colOff>17253</xdr:colOff>
      <xdr:row>38</xdr:row>
      <xdr:rowOff>37202</xdr:rowOff>
    </xdr:to>
    <mc:AlternateContent xmlns:mc="http://schemas.openxmlformats.org/markup-compatibility/2006">
      <mc:Choice xmlns:a14="http://schemas.microsoft.com/office/drawing/2010/main" Requires="a14">
        <xdr:graphicFrame macro="">
          <xdr:nvGraphicFramePr>
            <xdr:cNvPr id="27" name="Product line 1">
              <a:extLst>
                <a:ext uri="{FF2B5EF4-FFF2-40B4-BE49-F238E27FC236}">
                  <a16:creationId xmlns:a16="http://schemas.microsoft.com/office/drawing/2014/main" id="{9DDACE68-6240-4EA5-8EEE-650C760B8751}"/>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19927019" y="467264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43133</xdr:colOff>
      <xdr:row>25</xdr:row>
      <xdr:rowOff>1</xdr:rowOff>
    </xdr:from>
    <xdr:to>
      <xdr:col>39</xdr:col>
      <xdr:colOff>60386</xdr:colOff>
      <xdr:row>38</xdr:row>
      <xdr:rowOff>37203</xdr:rowOff>
    </xdr:to>
    <mc:AlternateContent xmlns:mc="http://schemas.openxmlformats.org/markup-compatibility/2006">
      <mc:Choice xmlns:a14="http://schemas.microsoft.com/office/drawing/2010/main" Requires="a14">
        <xdr:graphicFrame macro="">
          <xdr:nvGraphicFramePr>
            <xdr:cNvPr id="28" name="Country 1">
              <a:extLst>
                <a:ext uri="{FF2B5EF4-FFF2-40B4-BE49-F238E27FC236}">
                  <a16:creationId xmlns:a16="http://schemas.microsoft.com/office/drawing/2014/main" id="{BC88D98F-E060-415B-AD05-310CC905491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1781699" y="467264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0</xdr:colOff>
      <xdr:row>41</xdr:row>
      <xdr:rowOff>0</xdr:rowOff>
    </xdr:from>
    <xdr:to>
      <xdr:col>36</xdr:col>
      <xdr:colOff>17253</xdr:colOff>
      <xdr:row>54</xdr:row>
      <xdr:rowOff>37201</xdr:rowOff>
    </xdr:to>
    <mc:AlternateContent xmlns:mc="http://schemas.openxmlformats.org/markup-compatibility/2006">
      <mc:Choice xmlns:a14="http://schemas.microsoft.com/office/drawing/2010/main" Requires="a14">
        <xdr:graphicFrame macro="">
          <xdr:nvGraphicFramePr>
            <xdr:cNvPr id="29" name="Status 1">
              <a:extLst>
                <a:ext uri="{FF2B5EF4-FFF2-40B4-BE49-F238E27FC236}">
                  <a16:creationId xmlns:a16="http://schemas.microsoft.com/office/drawing/2014/main" id="{B3809D65-77A1-46CE-8636-6AB406783FDA}"/>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9927019" y="766313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43132</xdr:colOff>
      <xdr:row>41</xdr:row>
      <xdr:rowOff>14378</xdr:rowOff>
    </xdr:from>
    <xdr:to>
      <xdr:col>39</xdr:col>
      <xdr:colOff>60385</xdr:colOff>
      <xdr:row>54</xdr:row>
      <xdr:rowOff>51579</xdr:rowOff>
    </xdr:to>
    <mc:AlternateContent xmlns:mc="http://schemas.openxmlformats.org/markup-compatibility/2006">
      <mc:Choice xmlns:a14="http://schemas.microsoft.com/office/drawing/2010/main" Requires="a14">
        <xdr:graphicFrame macro="">
          <xdr:nvGraphicFramePr>
            <xdr:cNvPr id="30" name="Orderdate 1">
              <a:extLst>
                <a:ext uri="{FF2B5EF4-FFF2-40B4-BE49-F238E27FC236}">
                  <a16:creationId xmlns:a16="http://schemas.microsoft.com/office/drawing/2014/main" id="{3E43DFB9-BACA-4541-BFC8-B19386574147}"/>
                </a:ext>
              </a:extLst>
            </xdr:cNvPr>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dr:sp macro="" textlink="">
          <xdr:nvSpPr>
            <xdr:cNvPr id="0" name=""/>
            <xdr:cNvSpPr>
              <a:spLocks noTextEdit="1"/>
            </xdr:cNvSpPr>
          </xdr:nvSpPr>
          <xdr:spPr>
            <a:xfrm>
              <a:off x="21781698" y="767751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0.26328</cdr:x>
      <cdr:y>0.02628</cdr:y>
    </cdr:from>
    <cdr:to>
      <cdr:x>0.71733</cdr:x>
      <cdr:y>0.13848</cdr:y>
    </cdr:to>
    <cdr:sp macro="" textlink="">
      <cdr:nvSpPr>
        <cdr:cNvPr id="3" name="Rectangle 2">
          <a:extLst xmlns:a="http://schemas.openxmlformats.org/drawingml/2006/main">
            <a:ext uri="{FF2B5EF4-FFF2-40B4-BE49-F238E27FC236}">
              <a16:creationId xmlns:a16="http://schemas.microsoft.com/office/drawing/2014/main" id="{46CF592D-5D4E-B06D-C819-62F4E2F7A00C}"/>
            </a:ext>
          </a:extLst>
        </cdr:cNvPr>
        <cdr:cNvSpPr/>
      </cdr:nvSpPr>
      <cdr:spPr>
        <a:xfrm xmlns:a="http://schemas.openxmlformats.org/drawingml/2006/main">
          <a:off x="1250513" y="94304"/>
          <a:ext cx="2156614" cy="402575"/>
        </a:xfrm>
        <a:prstGeom xmlns:a="http://schemas.openxmlformats.org/drawingml/2006/main" prst="rect">
          <a:avLst/>
        </a:prstGeom>
        <a:gradFill xmlns:a="http://schemas.openxmlformats.org/drawingml/2006/main">
          <a:gsLst>
            <a:gs pos="0">
              <a:srgbClr val="6E0650"/>
            </a:gs>
            <a:gs pos="100000">
              <a:srgbClr val="FA94E9"/>
            </a:gs>
            <a:gs pos="100000">
              <a:srgbClr val="F5CFF3"/>
            </a:gs>
          </a:gsLst>
          <a:lin ang="5400000" scaled="1"/>
        </a:gradFill>
        <a:effectLst xmlns:a="http://schemas.openxmlformats.org/drawingml/2006/main">
          <a:glow rad="127000">
            <a:schemeClr val="tx1">
              <a:alpha val="44000"/>
            </a:schemeClr>
          </a:glow>
          <a:outerShdw blurRad="50800" dir="20400000" algn="ctr" rotWithShape="0">
            <a:srgbClr val="000000">
              <a:alpha val="0"/>
            </a:srgb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horzOverflow="clip" rtlCol="0" anchor="t"/>
        <a:lstStyle xmlns:a="http://schemas.openxmlformats.org/drawingml/2006/main"/>
        <a:p xmlns:a="http://schemas.openxmlformats.org/drawingml/2006/main">
          <a:pPr marL="0" indent="0" algn="ctr" rtl="0"/>
          <a:r>
            <a:rPr lang="en-US" sz="2000" b="1" i="0" u="none" strike="noStrike">
              <a:solidFill>
                <a:schemeClr val="bg1"/>
              </a:solidFill>
              <a:latin typeface="Calibri"/>
              <a:ea typeface="Calibri"/>
              <a:cs typeface="Calibri"/>
            </a:rPr>
            <a:t>Sales By Territory</a:t>
          </a:r>
          <a:endParaRPr lang="en-IN" sz="2000" b="1" i="0" u="none" strike="noStrike">
            <a:solidFill>
              <a:schemeClr val="bg1"/>
            </a:solidFill>
            <a:latin typeface="Calibri"/>
            <a:ea typeface="Calibri"/>
            <a:cs typeface="Calibri"/>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iya P" refreshedDate="46287.810945949073" backgroundQuery="1" createdVersion="8" refreshedVersion="8" minRefreshableVersion="3" recordCount="0" supportSubquery="1" supportAdvancedDrill="1" xr:uid="{BB6CDF1A-CD3E-483C-9671-979E386B2BC6}">
  <cacheSource type="external" connectionId="2"/>
  <cacheFields count="4">
    <cacheField name="[Measures].[Sum of Sales Amount]" caption="Sum of Sales Amount" numFmtId="0" hierarchy="27" level="32767"/>
    <cacheField name="[Sales_Order].[Orderdate (Month)].[Orderdate (Month)]" caption="Orderdate (Month)" numFmtId="0" hierarchy="23" level="1">
      <sharedItems count="12">
        <s v="Jan"/>
        <s v="Feb"/>
        <s v="Mar"/>
        <s v="Apr"/>
        <s v="May"/>
        <s v="Jun"/>
        <s v="Jul"/>
        <s v="Aug"/>
        <s v="Sep"/>
        <s v="Oct"/>
        <s v="Nov"/>
        <s v="Dec"/>
      </sharedItems>
    </cacheField>
    <cacheField name="[Sales_Order].[Orderdate (Year)].[Orderdate (Year)]" caption="Orderdate (Year)" numFmtId="0" hierarchy="21" level="1">
      <sharedItems count="3">
        <s v="2003"/>
        <s v="2004"/>
        <s v="2005"/>
      </sharedItems>
    </cacheField>
    <cacheField name="[Sales_Order].[Year_Id].[Year_Id]" caption="Year_Id" numFmtId="0" hierarchy="7" level="1">
      <sharedItems containsSemiMixedTypes="0" containsNonDate="0" containsString="0"/>
    </cacheField>
  </cacheFields>
  <cacheHierarchies count="29">
    <cacheHierarchy uniqueName="[Sales_Order].[Order number]" caption="Order number" attribute="1" defaultMemberUniqueName="[Sales_Order].[Order number].[All]" allUniqueName="[Sales_Order].[Order number].[All]" dimensionUniqueName="[Sales_Order]" displayFolder="" count="2" memberValueDatatype="20" unbalanced="0"/>
    <cacheHierarchy uniqueName="[Sales_Order].[Quantity ordered]" caption="Quantity ordered" attribute="1" defaultMemberUniqueName="[Sales_Order].[Quantity ordered].[All]" allUniqueName="[Sales_Order].[Quantity ordered].[All]" dimensionUniqueName="[Sales_Order]" displayFolder="" count="2" memberValueDatatype="20" unbalanced="0"/>
    <cacheHierarchy uniqueName="[Sales_Order].[Price each]" caption="Price each" attribute="1" defaultMemberUniqueName="[Sales_Order].[Price each].[All]" allUniqueName="[Sales_Order].[Price each].[All]" dimensionUniqueName="[Sales_Order]" displayFolder="" count="2" memberValueDatatype="5" unbalanced="0"/>
    <cacheHierarchy uniqueName="[Sales_Order].[Orderline number]" caption="Orderline number" attribute="1" defaultMemberUniqueName="[Sales_Order].[Orderline number].[All]" allUniqueName="[Sales_Order].[Orderline number].[All]" dimensionUniqueName="[Sales_Order]" displayFolder="" count="2" memberValueDatatype="20" unbalanced="0"/>
    <cacheHierarchy uniqueName="[Sales_Order].[Orderdate]" caption="Orderdate" attribute="1" time="1" defaultMemberUniqueName="[Sales_Order].[Orderdate].[All]" allUniqueName="[Sales_Order].[Orderdate].[All]" dimensionUniqueName="[Sales_Order]" displayFolder="" count="2" memberValueDatatype="7" unbalanced="0"/>
    <cacheHierarchy uniqueName="[Sales_Order].[Status]" caption="Status" attribute="1" defaultMemberUniqueName="[Sales_Order].[Status].[All]" allUniqueName="[Sales_Order].[Status].[All]" dimensionUniqueName="[Sales_Order]" displayFolder="" count="2" memberValueDatatype="130" unbalanced="0"/>
    <cacheHierarchy uniqueName="[Sales_Order].[Qtr_Id]" caption="Qtr_Id" attribute="1" defaultMemberUniqueName="[Sales_Order].[Qtr_Id].[All]" allUniqueName="[Sales_Order].[Qtr_Id].[All]" dimensionUniqueName="[Sales_Order]" displayFolder="" count="2" memberValueDatatype="20" unbalanced="0"/>
    <cacheHierarchy uniqueName="[Sales_Order].[Year_Id]" caption="Year_Id" attribute="1" defaultMemberUniqueName="[Sales_Order].[Year_Id].[All]" allUniqueName="[Sales_Order].[Year_Id].[All]" dimensionUniqueName="[Sales_Order]" displayFolder="" count="2" memberValueDatatype="20" unbalanced="0">
      <fieldsUsage count="2">
        <fieldUsage x="-1"/>
        <fieldUsage x="3"/>
      </fieldsUsage>
    </cacheHierarchy>
    <cacheHierarchy uniqueName="[Sales_Order].[Product line]" caption="Product line" attribute="1" defaultMemberUniqueName="[Sales_Order].[Product line].[All]" allUniqueName="[Sales_Order].[Product line].[All]" dimensionUniqueName="[Sales_Order]" displayFolder="" count="2" memberValueDatatype="130" unbalanced="0"/>
    <cacheHierarchy uniqueName="[Sales_Order].[Product code]" caption="Product code" attribute="1" defaultMemberUniqueName="[Sales_Order].[Product code].[All]" allUniqueName="[Sales_Order].[Product code].[All]" dimensionUniqueName="[Sales_Order]" displayFolder="" count="2" memberValueDatatype="130" unbalanced="0"/>
    <cacheHierarchy uniqueName="[Sales_Order].[Customer name]" caption="Customer name" attribute="1" defaultMemberUniqueName="[Sales_Order].[Customer name].[All]" allUniqueName="[Sales_Order].[Customer name].[All]" dimensionUniqueName="[Sales_Order]" displayFolder="" count="2" memberValueDatatype="130" unbalanced="0"/>
    <cacheHierarchy uniqueName="[Sales_Order].[Address line]" caption="Address line" attribute="1" defaultMemberUniqueName="[Sales_Order].[Address line].[All]" allUniqueName="[Sales_Order].[Address line].[All]" dimensionUniqueName="[Sales_Order]" displayFolder="" count="2" memberValueDatatype="130" unbalanced="0"/>
    <cacheHierarchy uniqueName="[Sales_Order].[City]" caption="City" attribute="1" defaultMemberUniqueName="[Sales_Order].[City].[All]" allUniqueName="[Sales_Order].[City].[All]" dimensionUniqueName="[Sales_Order]" displayFolder="" count="2" memberValueDatatype="130" unbalanced="0"/>
    <cacheHierarchy uniqueName="[Sales_Order].[State]" caption="State" attribute="1" defaultMemberUniqueName="[Sales_Order].[State].[All]" allUniqueName="[Sales_Order].[State].[All]" dimensionUniqueName="[Sales_Order]" displayFolder="" count="2" memberValueDatatype="130" unbalanced="0"/>
    <cacheHierarchy uniqueName="[Sales_Order].[Postal code]" caption="Postal code" attribute="1" defaultMemberUniqueName="[Sales_Order].[Postal code].[All]" allUniqueName="[Sales_Order].[Postal code].[All]" dimensionUniqueName="[Sales_Order]" displayFolder="" count="2" memberValueDatatype="130" unbalanced="0"/>
    <cacheHierarchy uniqueName="[Sales_Order].[Country]" caption="Country" attribute="1" defaultMemberUniqueName="[Sales_Order].[Country].[All]" allUniqueName="[Sales_Order].[Country].[All]" dimensionUniqueName="[Sales_Order]" displayFolder="" count="2" memberValueDatatype="130" unbalanced="0"/>
    <cacheHierarchy uniqueName="[Sales_Order].[Territory]" caption="Territory" attribute="1" defaultMemberUniqueName="[Sales_Order].[Territory].[All]" allUniqueName="[Sales_Order].[Territory].[All]" dimensionUniqueName="[Sales_Order]" displayFolder="" count="2" memberValueDatatype="130" unbalanced="0"/>
    <cacheHierarchy uniqueName="[Sales_Order].[Contact Name]" caption="Contact Name" attribute="1" defaultMemberUniqueName="[Sales_Order].[Contact Name].[All]" allUniqueName="[Sales_Order].[Contact Name].[All]" dimensionUniqueName="[Sales_Order]" displayFolder="" count="2" memberValueDatatype="130" unbalanced="0"/>
    <cacheHierarchy uniqueName="[Sales_Order].[Dealsize]" caption="Dealsize" attribute="1" defaultMemberUniqueName="[Sales_Order].[Dealsize].[All]" allUniqueName="[Sales_Order].[Dealsize].[All]" dimensionUniqueName="[Sales_Order]" displayFolder="" count="2" memberValueDatatype="130" unbalanced="0"/>
    <cacheHierarchy uniqueName="[Sales_Order].[Month]" caption="Month" attribute="1" defaultMemberUniqueName="[Sales_Order].[Month].[All]" allUniqueName="[Sales_Order].[Month].[All]" dimensionUniqueName="[Sales_Order]" displayFolder="" count="2" memberValueDatatype="130" unbalanced="0"/>
    <cacheHierarchy uniqueName="[Sales_Order].[Sales Amount]" caption="Sales Amount" attribute="1" defaultMemberUniqueName="[Sales_Order].[Sales Amount].[All]" allUniqueName="[Sales_Order].[Sales Amount].[All]" dimensionUniqueName="[Sales_Order]" displayFolder="" count="2" memberValueDatatype="5" unbalanced="0"/>
    <cacheHierarchy uniqueName="[Sales_Order].[Orderdate (Year)]" caption="Orderdate (Year)" attribute="1" defaultMemberUniqueName="[Sales_Order].[Orderdate (Year)].[All]" allUniqueName="[Sales_Order].[Orderdate (Year)].[All]" dimensionUniqueName="[Sales_Order]" displayFolder="" count="2" memberValueDatatype="130" unbalanced="0">
      <fieldsUsage count="2">
        <fieldUsage x="-1"/>
        <fieldUsage x="2"/>
      </fieldsUsage>
    </cacheHierarchy>
    <cacheHierarchy uniqueName="[Sales_Order].[Orderdate (Quarter)]" caption="Orderdate (Quarter)" attribute="1" defaultMemberUniqueName="[Sales_Order].[Orderdate (Quarter)].[All]" allUniqueName="[Sales_Order].[Orderdate (Quarter)].[All]" dimensionUniqueName="[Sales_Order]" displayFolder="" count="2" memberValueDatatype="130" unbalanced="0"/>
    <cacheHierarchy uniqueName="[Sales_Order].[Orderdate (Month)]" caption="Orderdate (Month)" attribute="1" defaultMemberUniqueName="[Sales_Order].[Orderdate (Month)].[All]" allUniqueName="[Sales_Order].[Orderdate (Month)].[All]" dimensionUniqueName="[Sales_Order]" displayFolder="" count="2" memberValueDatatype="130" unbalanced="0">
      <fieldsUsage count="2">
        <fieldUsage x="-1"/>
        <fieldUsage x="1"/>
      </fieldsUsage>
    </cacheHierarchy>
    <cacheHierarchy uniqueName="[Sales_Order].[Orderdate (Month Index)]" caption="Orderdate (Month Index)" attribute="1" defaultMemberUniqueName="[Sales_Order].[Orderdate (Month Index)].[All]" allUniqueName="[Sales_Order].[Orderdate (Month Index)].[All]" dimensionUniqueName="[Sales_Order]" displayFolder="" count="2" memberValueDatatype="20" unbalanced="0" hidden="1"/>
    <cacheHierarchy uniqueName="[Measures].[__XL_Count Sales_Order]" caption="__XL_Count Sales_Order" measure="1" displayFolder="" measureGroup="Sales_Order" count="0" hidden="1"/>
    <cacheHierarchy uniqueName="[Measures].[__No measures defined]" caption="__No measures defined" measure="1" displayFolder="" count="0" hidden="1"/>
    <cacheHierarchy uniqueName="[Measures].[Sum of Sales Amount]" caption="Sum of Sales Amount" measure="1" displayFolder="" measureGroup="Sales_Order"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Order number]" caption="Sum of Order number" measure="1" displayFolder="" measureGroup="Sales_Order"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Order" uniqueName="[Sales_Order]" caption="Sales_Order"/>
  </dimensions>
  <measureGroups count="1">
    <measureGroup name="Sales_Order" caption="Sales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iya P" refreshedDate="46287.810947106482" backgroundQuery="1" createdVersion="8" refreshedVersion="8" minRefreshableVersion="3" recordCount="0" supportSubquery="1" supportAdvancedDrill="1" xr:uid="{F4952FB7-F1C7-4913-88A1-6300B0A2D11E}">
  <cacheSource type="external" connectionId="2"/>
  <cacheFields count="4">
    <cacheField name="[Measures].[Sum of Sales Amount]" caption="Sum of Sales Amount" numFmtId="0" hierarchy="27" level="32767"/>
    <cacheField name="[Sales_Order].[Product line].[Product line]" caption="Product line" numFmtId="0" hierarchy="8" level="1">
      <sharedItems count="7">
        <s v="Classic Cars"/>
        <s v="Motorcycles"/>
        <s v="Planes"/>
        <s v="Ships"/>
        <s v="Trains"/>
        <s v="Trucks and Buses"/>
        <s v="Vintage Cars"/>
      </sharedItems>
    </cacheField>
    <cacheField name="[Sales_Order].[Customer name].[Customer name]" caption="Customer name" numFmtId="0" hierarchy="10" level="1">
      <sharedItems count="10">
        <s v="Anna's Decorations, Ltd"/>
        <s v="Australian Collectors, Co."/>
        <s v="Land of Toys Inc."/>
        <s v="Mini Gifts Distributors Ltd."/>
        <s v="Muscle Machine Inc"/>
        <s v="Online Diecast Creations Co."/>
        <s v="Souveniers And Things Co."/>
        <s v="Technics Stores Inc."/>
        <s v="The Sharp Gifts Warehouse"/>
        <s v="Tokyo Collectables, Ltd"/>
      </sharedItems>
    </cacheField>
    <cacheField name="[Sales_Order].[Year_Id].[Year_Id]" caption="Year_Id" numFmtId="0" hierarchy="7" level="1">
      <sharedItems containsSemiMixedTypes="0" containsNonDate="0" containsString="0"/>
    </cacheField>
  </cacheFields>
  <cacheHierarchies count="29">
    <cacheHierarchy uniqueName="[Sales_Order].[Order number]" caption="Order number" attribute="1" defaultMemberUniqueName="[Sales_Order].[Order number].[All]" allUniqueName="[Sales_Order].[Order number].[All]" dimensionUniqueName="[Sales_Order]" displayFolder="" count="2" memberValueDatatype="20" unbalanced="0"/>
    <cacheHierarchy uniqueName="[Sales_Order].[Quantity ordered]" caption="Quantity ordered" attribute="1" defaultMemberUniqueName="[Sales_Order].[Quantity ordered].[All]" allUniqueName="[Sales_Order].[Quantity ordered].[All]" dimensionUniqueName="[Sales_Order]" displayFolder="" count="2" memberValueDatatype="20" unbalanced="0"/>
    <cacheHierarchy uniqueName="[Sales_Order].[Price each]" caption="Price each" attribute="1" defaultMemberUniqueName="[Sales_Order].[Price each].[All]" allUniqueName="[Sales_Order].[Price each].[All]" dimensionUniqueName="[Sales_Order]" displayFolder="" count="2" memberValueDatatype="5" unbalanced="0"/>
    <cacheHierarchy uniqueName="[Sales_Order].[Orderline number]" caption="Orderline number" attribute="1" defaultMemberUniqueName="[Sales_Order].[Orderline number].[All]" allUniqueName="[Sales_Order].[Orderline number].[All]" dimensionUniqueName="[Sales_Order]" displayFolder="" count="2" memberValueDatatype="20" unbalanced="0"/>
    <cacheHierarchy uniqueName="[Sales_Order].[Orderdate]" caption="Orderdate" attribute="1" time="1" defaultMemberUniqueName="[Sales_Order].[Orderdate].[All]" allUniqueName="[Sales_Order].[Orderdate].[All]" dimensionUniqueName="[Sales_Order]" displayFolder="" count="2" memberValueDatatype="7" unbalanced="0"/>
    <cacheHierarchy uniqueName="[Sales_Order].[Status]" caption="Status" attribute="1" defaultMemberUniqueName="[Sales_Order].[Status].[All]" allUniqueName="[Sales_Order].[Status].[All]" dimensionUniqueName="[Sales_Order]" displayFolder="" count="2" memberValueDatatype="130" unbalanced="0"/>
    <cacheHierarchy uniqueName="[Sales_Order].[Qtr_Id]" caption="Qtr_Id" attribute="1" defaultMemberUniqueName="[Sales_Order].[Qtr_Id].[All]" allUniqueName="[Sales_Order].[Qtr_Id].[All]" dimensionUniqueName="[Sales_Order]" displayFolder="" count="2" memberValueDatatype="20" unbalanced="0"/>
    <cacheHierarchy uniqueName="[Sales_Order].[Year_Id]" caption="Year_Id" attribute="1" defaultMemberUniqueName="[Sales_Order].[Year_Id].[All]" allUniqueName="[Sales_Order].[Year_Id].[All]" dimensionUniqueName="[Sales_Order]" displayFolder="" count="2" memberValueDatatype="20" unbalanced="0">
      <fieldsUsage count="2">
        <fieldUsage x="-1"/>
        <fieldUsage x="3"/>
      </fieldsUsage>
    </cacheHierarchy>
    <cacheHierarchy uniqueName="[Sales_Order].[Product line]" caption="Product line" attribute="1" defaultMemberUniqueName="[Sales_Order].[Product line].[All]" allUniqueName="[Sales_Order].[Product line].[All]" dimensionUniqueName="[Sales_Order]" displayFolder="" count="2" memberValueDatatype="130" unbalanced="0">
      <fieldsUsage count="2">
        <fieldUsage x="-1"/>
        <fieldUsage x="1"/>
      </fieldsUsage>
    </cacheHierarchy>
    <cacheHierarchy uniqueName="[Sales_Order].[Product code]" caption="Product code" attribute="1" defaultMemberUniqueName="[Sales_Order].[Product code].[All]" allUniqueName="[Sales_Order].[Product code].[All]" dimensionUniqueName="[Sales_Order]" displayFolder="" count="2" memberValueDatatype="130" unbalanced="0"/>
    <cacheHierarchy uniqueName="[Sales_Order].[Customer name]" caption="Customer name" attribute="1" defaultMemberUniqueName="[Sales_Order].[Customer name].[All]" allUniqueName="[Sales_Order].[Customer name].[All]" dimensionUniqueName="[Sales_Order]" displayFolder="" count="2" memberValueDatatype="130" unbalanced="0">
      <fieldsUsage count="2">
        <fieldUsage x="-1"/>
        <fieldUsage x="2"/>
      </fieldsUsage>
    </cacheHierarchy>
    <cacheHierarchy uniqueName="[Sales_Order].[Address line]" caption="Address line" attribute="1" defaultMemberUniqueName="[Sales_Order].[Address line].[All]" allUniqueName="[Sales_Order].[Address line].[All]" dimensionUniqueName="[Sales_Order]" displayFolder="" count="2" memberValueDatatype="130" unbalanced="0"/>
    <cacheHierarchy uniqueName="[Sales_Order].[City]" caption="City" attribute="1" defaultMemberUniqueName="[Sales_Order].[City].[All]" allUniqueName="[Sales_Order].[City].[All]" dimensionUniqueName="[Sales_Order]" displayFolder="" count="2" memberValueDatatype="130" unbalanced="0"/>
    <cacheHierarchy uniqueName="[Sales_Order].[State]" caption="State" attribute="1" defaultMemberUniqueName="[Sales_Order].[State].[All]" allUniqueName="[Sales_Order].[State].[All]" dimensionUniqueName="[Sales_Order]" displayFolder="" count="2" memberValueDatatype="130" unbalanced="0"/>
    <cacheHierarchy uniqueName="[Sales_Order].[Postal code]" caption="Postal code" attribute="1" defaultMemberUniqueName="[Sales_Order].[Postal code].[All]" allUniqueName="[Sales_Order].[Postal code].[All]" dimensionUniqueName="[Sales_Order]" displayFolder="" count="2" memberValueDatatype="130" unbalanced="0"/>
    <cacheHierarchy uniqueName="[Sales_Order].[Country]" caption="Country" attribute="1" defaultMemberUniqueName="[Sales_Order].[Country].[All]" allUniqueName="[Sales_Order].[Country].[All]" dimensionUniqueName="[Sales_Order]" displayFolder="" count="2" memberValueDatatype="130" unbalanced="0"/>
    <cacheHierarchy uniqueName="[Sales_Order].[Territory]" caption="Territory" attribute="1" defaultMemberUniqueName="[Sales_Order].[Territory].[All]" allUniqueName="[Sales_Order].[Territory].[All]" dimensionUniqueName="[Sales_Order]" displayFolder="" count="2" memberValueDatatype="130" unbalanced="0"/>
    <cacheHierarchy uniqueName="[Sales_Order].[Contact Name]" caption="Contact Name" attribute="1" defaultMemberUniqueName="[Sales_Order].[Contact Name].[All]" allUniqueName="[Sales_Order].[Contact Name].[All]" dimensionUniqueName="[Sales_Order]" displayFolder="" count="2" memberValueDatatype="130" unbalanced="0"/>
    <cacheHierarchy uniqueName="[Sales_Order].[Dealsize]" caption="Dealsize" attribute="1" defaultMemberUniqueName="[Sales_Order].[Dealsize].[All]" allUniqueName="[Sales_Order].[Dealsize].[All]" dimensionUniqueName="[Sales_Order]" displayFolder="" count="2" memberValueDatatype="130" unbalanced="0"/>
    <cacheHierarchy uniqueName="[Sales_Order].[Month]" caption="Month" attribute="1" defaultMemberUniqueName="[Sales_Order].[Month].[All]" allUniqueName="[Sales_Order].[Month].[All]" dimensionUniqueName="[Sales_Order]" displayFolder="" count="2" memberValueDatatype="130" unbalanced="0"/>
    <cacheHierarchy uniqueName="[Sales_Order].[Sales Amount]" caption="Sales Amount" attribute="1" defaultMemberUniqueName="[Sales_Order].[Sales Amount].[All]" allUniqueName="[Sales_Order].[Sales Amount].[All]" dimensionUniqueName="[Sales_Order]" displayFolder="" count="2" memberValueDatatype="5" unbalanced="0"/>
    <cacheHierarchy uniqueName="[Sales_Order].[Orderdate (Year)]" caption="Orderdate (Year)" attribute="1" defaultMemberUniqueName="[Sales_Order].[Orderdate (Year)].[All]" allUniqueName="[Sales_Order].[Orderdate (Year)].[All]" dimensionUniqueName="[Sales_Order]" displayFolder="" count="2" memberValueDatatype="130" unbalanced="0"/>
    <cacheHierarchy uniqueName="[Sales_Order].[Orderdate (Quarter)]" caption="Orderdate (Quarter)" attribute="1" defaultMemberUniqueName="[Sales_Order].[Orderdate (Quarter)].[All]" allUniqueName="[Sales_Order].[Orderdate (Quarter)].[All]" dimensionUniqueName="[Sales_Order]" displayFolder="" count="2" memberValueDatatype="130" unbalanced="0"/>
    <cacheHierarchy uniqueName="[Sales_Order].[Orderdate (Month)]" caption="Orderdate (Month)" attribute="1" defaultMemberUniqueName="[Sales_Order].[Orderdate (Month)].[All]" allUniqueName="[Sales_Order].[Orderdate (Month)].[All]" dimensionUniqueName="[Sales_Order]" displayFolder="" count="2" memberValueDatatype="130" unbalanced="0"/>
    <cacheHierarchy uniqueName="[Sales_Order].[Orderdate (Month Index)]" caption="Orderdate (Month Index)" attribute="1" defaultMemberUniqueName="[Sales_Order].[Orderdate (Month Index)].[All]" allUniqueName="[Sales_Order].[Orderdate (Month Index)].[All]" dimensionUniqueName="[Sales_Order]" displayFolder="" count="2" memberValueDatatype="20" unbalanced="0" hidden="1"/>
    <cacheHierarchy uniqueName="[Measures].[__XL_Count Sales_Order]" caption="__XL_Count Sales_Order" measure="1" displayFolder="" measureGroup="Sales_Order" count="0" hidden="1"/>
    <cacheHierarchy uniqueName="[Measures].[__No measures defined]" caption="__No measures defined" measure="1" displayFolder="" count="0" hidden="1"/>
    <cacheHierarchy uniqueName="[Measures].[Sum of Sales Amount]" caption="Sum of Sales Amount" measure="1" displayFolder="" measureGroup="Sales_Order"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Order number]" caption="Sum of Order number" measure="1" displayFolder="" measureGroup="Sales_Order"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Order" uniqueName="[Sales_Order]" caption="Sales_Order"/>
  </dimensions>
  <measureGroups count="1">
    <measureGroup name="Sales_Order" caption="Sales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iya P" refreshedDate="46287.810947800928" backgroundQuery="1" createdVersion="8" refreshedVersion="8" minRefreshableVersion="3" recordCount="0" supportSubquery="1" supportAdvancedDrill="1" xr:uid="{74A1BEEC-2EE3-41F9-976A-80F069C2669C}">
  <cacheSource type="external" connectionId="2"/>
  <cacheFields count="4">
    <cacheField name="[Sales_Order].[Customer name].[Customer name]" caption="Customer name" numFmtId="0" hierarchy="10" level="1">
      <sharedItems count="10">
        <s v="Anna's Decorations, Ltd"/>
        <s v="Australian Collectors, Co."/>
        <s v="Land of Toys Inc."/>
        <s v="Mini Gifts Distributors Ltd."/>
        <s v="Muscle Machine Inc"/>
        <s v="Online Diecast Creations Co."/>
        <s v="Souveniers And Things Co."/>
        <s v="Technics Stores Inc."/>
        <s v="The Sharp Gifts Warehouse"/>
        <s v="Tokyo Collectables, Ltd"/>
      </sharedItems>
    </cacheField>
    <cacheField name="[Sales_Order].[Status].[Status]" caption="Status" numFmtId="0" hierarchy="5" level="1">
      <sharedItems count="6">
        <s v="Cancelled"/>
        <s v="Disputed"/>
        <s v="In Process"/>
        <s v="On Hold"/>
        <s v="Resolved"/>
        <s v="Shipped"/>
      </sharedItems>
    </cacheField>
    <cacheField name="[Measures].[Sum of Order number]" caption="Sum of Order number" numFmtId="0" hierarchy="28" level="32767"/>
    <cacheField name="[Sales_Order].[Year_Id].[Year_Id]" caption="Year_Id" numFmtId="0" hierarchy="7" level="1">
      <sharedItems containsSemiMixedTypes="0" containsNonDate="0" containsString="0"/>
    </cacheField>
  </cacheFields>
  <cacheHierarchies count="29">
    <cacheHierarchy uniqueName="[Sales_Order].[Order number]" caption="Order number" attribute="1" defaultMemberUniqueName="[Sales_Order].[Order number].[All]" allUniqueName="[Sales_Order].[Order number].[All]" dimensionUniqueName="[Sales_Order]" displayFolder="" count="0" memberValueDatatype="20" unbalanced="0"/>
    <cacheHierarchy uniqueName="[Sales_Order].[Quantity ordered]" caption="Quantity ordered" attribute="1" defaultMemberUniqueName="[Sales_Order].[Quantity ordered].[All]" allUniqueName="[Sales_Order].[Quantity ordered].[All]" dimensionUniqueName="[Sales_Order]" displayFolder="" count="0" memberValueDatatype="20" unbalanced="0"/>
    <cacheHierarchy uniqueName="[Sales_Order].[Price each]" caption="Price each" attribute="1" defaultMemberUniqueName="[Sales_Order].[Price each].[All]" allUniqueName="[Sales_Order].[Price each].[All]" dimensionUniqueName="[Sales_Order]" displayFolder="" count="0" memberValueDatatype="5" unbalanced="0"/>
    <cacheHierarchy uniqueName="[Sales_Order].[Orderline number]" caption="Orderline number" attribute="1" defaultMemberUniqueName="[Sales_Order].[Orderline number].[All]" allUniqueName="[Sales_Order].[Orderline number].[All]" dimensionUniqueName="[Sales_Order]" displayFolder="" count="0" memberValueDatatype="20" unbalanced="0"/>
    <cacheHierarchy uniqueName="[Sales_Order].[Orderdate]" caption="Orderdate" attribute="1" time="1" defaultMemberUniqueName="[Sales_Order].[Orderdate].[All]" allUniqueName="[Sales_Order].[Orderdate].[All]" dimensionUniqueName="[Sales_Order]" displayFolder="" count="2" memberValueDatatype="7" unbalanced="0"/>
    <cacheHierarchy uniqueName="[Sales_Order].[Status]" caption="Status" attribute="1" defaultMemberUniqueName="[Sales_Order].[Status].[All]" allUniqueName="[Sales_Order].[Status].[All]" dimensionUniqueName="[Sales_Order]" displayFolder="" count="2" memberValueDatatype="130" unbalanced="0">
      <fieldsUsage count="2">
        <fieldUsage x="-1"/>
        <fieldUsage x="1"/>
      </fieldsUsage>
    </cacheHierarchy>
    <cacheHierarchy uniqueName="[Sales_Order].[Qtr_Id]" caption="Qtr_Id" attribute="1" defaultMemberUniqueName="[Sales_Order].[Qtr_Id].[All]" allUniqueName="[Sales_Order].[Qtr_Id].[All]" dimensionUniqueName="[Sales_Order]" displayFolder="" count="2" memberValueDatatype="20" unbalanced="0"/>
    <cacheHierarchy uniqueName="[Sales_Order].[Year_Id]" caption="Year_Id" attribute="1" defaultMemberUniqueName="[Sales_Order].[Year_Id].[All]" allUniqueName="[Sales_Order].[Year_Id].[All]" dimensionUniqueName="[Sales_Order]" displayFolder="" count="2" memberValueDatatype="20" unbalanced="0">
      <fieldsUsage count="2">
        <fieldUsage x="-1"/>
        <fieldUsage x="3"/>
      </fieldsUsage>
    </cacheHierarchy>
    <cacheHierarchy uniqueName="[Sales_Order].[Product line]" caption="Product line" attribute="1" defaultMemberUniqueName="[Sales_Order].[Product line].[All]" allUniqueName="[Sales_Order].[Product line].[All]" dimensionUniqueName="[Sales_Order]" displayFolder="" count="2" memberValueDatatype="130" unbalanced="0"/>
    <cacheHierarchy uniqueName="[Sales_Order].[Product code]" caption="Product code" attribute="1" defaultMemberUniqueName="[Sales_Order].[Product code].[All]" allUniqueName="[Sales_Order].[Product code].[All]" dimensionUniqueName="[Sales_Order]" displayFolder="" count="0" memberValueDatatype="130" unbalanced="0"/>
    <cacheHierarchy uniqueName="[Sales_Order].[Customer name]" caption="Customer name" attribute="1" defaultMemberUniqueName="[Sales_Order].[Customer name].[All]" allUniqueName="[Sales_Order].[Customer name].[All]" dimensionUniqueName="[Sales_Order]" displayFolder="" count="2" memberValueDatatype="130" unbalanced="0">
      <fieldsUsage count="2">
        <fieldUsage x="-1"/>
        <fieldUsage x="0"/>
      </fieldsUsage>
    </cacheHierarchy>
    <cacheHierarchy uniqueName="[Sales_Order].[Address line]" caption="Address line" attribute="1" defaultMemberUniqueName="[Sales_Order].[Address line].[All]" allUniqueName="[Sales_Order].[Address line].[All]" dimensionUniqueName="[Sales_Order]" displayFolder="" count="0" memberValueDatatype="130" unbalanced="0"/>
    <cacheHierarchy uniqueName="[Sales_Order].[City]" caption="City" attribute="1" defaultMemberUniqueName="[Sales_Order].[City].[All]" allUniqueName="[Sales_Order].[City].[All]" dimensionUniqueName="[Sales_Order]" displayFolder="" count="0" memberValueDatatype="130" unbalanced="0"/>
    <cacheHierarchy uniqueName="[Sales_Order].[State]" caption="State" attribute="1" defaultMemberUniqueName="[Sales_Order].[State].[All]" allUniqueName="[Sales_Order].[State].[All]" dimensionUniqueName="[Sales_Order]" displayFolder="" count="0" memberValueDatatype="130" unbalanced="0"/>
    <cacheHierarchy uniqueName="[Sales_Order].[Postal code]" caption="Postal code" attribute="1" defaultMemberUniqueName="[Sales_Order].[Postal code].[All]" allUniqueName="[Sales_Order].[Postal code].[All]" dimensionUniqueName="[Sales_Order]" displayFolder="" count="0" memberValueDatatype="130" unbalanced="0"/>
    <cacheHierarchy uniqueName="[Sales_Order].[Country]" caption="Country" attribute="1" defaultMemberUniqueName="[Sales_Order].[Country].[All]" allUniqueName="[Sales_Order].[Country].[All]" dimensionUniqueName="[Sales_Order]" displayFolder="" count="2" memberValueDatatype="130" unbalanced="0"/>
    <cacheHierarchy uniqueName="[Sales_Order].[Territory]" caption="Territory" attribute="1" defaultMemberUniqueName="[Sales_Order].[Territory].[All]" allUniqueName="[Sales_Order].[Territory].[All]" dimensionUniqueName="[Sales_Order]" displayFolder="" count="0" memberValueDatatype="130" unbalanced="0"/>
    <cacheHierarchy uniqueName="[Sales_Order].[Contact Name]" caption="Contact Name" attribute="1" defaultMemberUniqueName="[Sales_Order].[Contact Name].[All]" allUniqueName="[Sales_Order].[Contact Name].[All]" dimensionUniqueName="[Sales_Order]" displayFolder="" count="0" memberValueDatatype="130" unbalanced="0"/>
    <cacheHierarchy uniqueName="[Sales_Order].[Dealsize]" caption="Dealsize" attribute="1" defaultMemberUniqueName="[Sales_Order].[Dealsize].[All]" allUniqueName="[Sales_Order].[Dealsize].[All]" dimensionUniqueName="[Sales_Order]" displayFolder="" count="0" memberValueDatatype="130" unbalanced="0"/>
    <cacheHierarchy uniqueName="[Sales_Order].[Month]" caption="Month" attribute="1" defaultMemberUniqueName="[Sales_Order].[Month].[All]" allUniqueName="[Sales_Order].[Month].[All]" dimensionUniqueName="[Sales_Order]" displayFolder="" count="0" memberValueDatatype="130" unbalanced="0"/>
    <cacheHierarchy uniqueName="[Sales_Order].[Sales Amount]" caption="Sales Amount" attribute="1" defaultMemberUniqueName="[Sales_Order].[Sales Amount].[All]" allUniqueName="[Sales_Order].[Sales Amount].[All]" dimensionUniqueName="[Sales_Order]" displayFolder="" count="0" memberValueDatatype="5" unbalanced="0"/>
    <cacheHierarchy uniqueName="[Sales_Order].[Orderdate (Year)]" caption="Orderdate (Year)" attribute="1" defaultMemberUniqueName="[Sales_Order].[Orderdate (Year)].[All]" allUniqueName="[Sales_Order].[Orderdate (Year)].[All]" dimensionUniqueName="[Sales_Order]" displayFolder="" count="2" memberValueDatatype="130" unbalanced="0"/>
    <cacheHierarchy uniqueName="[Sales_Order].[Orderdate (Quarter)]" caption="Orderdate (Quarter)" attribute="1" defaultMemberUniqueName="[Sales_Order].[Orderdate (Quarter)].[All]" allUniqueName="[Sales_Order].[Orderdate (Quarter)].[All]" dimensionUniqueName="[Sales_Order]" displayFolder="" count="0" memberValueDatatype="130" unbalanced="0"/>
    <cacheHierarchy uniqueName="[Sales_Order].[Orderdate (Month)]" caption="Orderdate (Month)" attribute="1" defaultMemberUniqueName="[Sales_Order].[Orderdate (Month)].[All]" allUniqueName="[Sales_Order].[Orderdate (Month)].[All]" dimensionUniqueName="[Sales_Order]" displayFolder="" count="2" memberValueDatatype="130" unbalanced="0"/>
    <cacheHierarchy uniqueName="[Sales_Order].[Orderdate (Month Index)]" caption="Orderdate (Month Index)" attribute="1" defaultMemberUniqueName="[Sales_Order].[Orderdate (Month Index)].[All]" allUniqueName="[Sales_Order].[Orderdate (Month Index)].[All]" dimensionUniqueName="[Sales_Order]" displayFolder="" count="0" memberValueDatatype="20" unbalanced="0" hidden="1"/>
    <cacheHierarchy uniqueName="[Measures].[__XL_Count Sales_Order]" caption="__XL_Count Sales_Order" measure="1" displayFolder="" measureGroup="Sales_Order" count="0" hidden="1"/>
    <cacheHierarchy uniqueName="[Measures].[__No measures defined]" caption="__No measures defined" measure="1" displayFolder="" count="0" hidden="1"/>
    <cacheHierarchy uniqueName="[Measures].[Sum of Sales Amount]" caption="Sum of Sales Amount" measure="1" displayFolder="" measureGroup="Sales_Order" count="0" hidden="1">
      <extLst>
        <ext xmlns:x15="http://schemas.microsoft.com/office/spreadsheetml/2010/11/main" uri="{B97F6D7D-B522-45F9-BDA1-12C45D357490}">
          <x15:cacheHierarchy aggregatedColumn="20"/>
        </ext>
      </extLst>
    </cacheHierarchy>
    <cacheHierarchy uniqueName="[Measures].[Sum of Order number]" caption="Sum of Order number" measure="1" displayFolder="" measureGroup="Sales_Order"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Order" uniqueName="[Sales_Order]" caption="Sales_Order"/>
  </dimensions>
  <measureGroups count="1">
    <measureGroup name="Sales_Order" caption="Sales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iya P" refreshedDate="46287.810948495367" backgroundQuery="1" createdVersion="8" refreshedVersion="8" minRefreshableVersion="3" recordCount="0" supportSubquery="1" supportAdvancedDrill="1" xr:uid="{B578D27B-0F64-4F25-AC6B-F0C56B22A154}">
  <cacheSource type="external" connectionId="2"/>
  <cacheFields count="4">
    <cacheField name="[Sales_Order].[Customer name].[Customer name]" caption="Customer name" numFmtId="0" hierarchy="10" level="1">
      <sharedItems count="10">
        <s v="Anna's Decorations, Ltd"/>
        <s v="Australian Collectors, Co."/>
        <s v="Land of Toys Inc."/>
        <s v="Mini Gifts Distributors Ltd."/>
        <s v="Muscle Machine Inc"/>
        <s v="Online Diecast Creations Co."/>
        <s v="Souveniers And Things Co."/>
        <s v="Technics Stores Inc."/>
        <s v="The Sharp Gifts Warehouse"/>
        <s v="Tokyo Collectables, Ltd"/>
      </sharedItems>
    </cacheField>
    <cacheField name="[Sales_Order].[Qtr_Id].[Qtr_Id]" caption="Qtr_Id" numFmtId="0" hierarchy="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Sales_Order].[Qtr_Id].&amp;[1]"/>
            <x15:cachedUniqueName index="1" name="[Sales_Order].[Qtr_Id].&amp;[2]"/>
            <x15:cachedUniqueName index="2" name="[Sales_Order].[Qtr_Id].&amp;[3]"/>
            <x15:cachedUniqueName index="3" name="[Sales_Order].[Qtr_Id].&amp;[4]"/>
          </x15:cachedUniqueNames>
        </ext>
      </extLst>
    </cacheField>
    <cacheField name="[Measures].[Sum of Sales Amount]" caption="Sum of Sales Amount" numFmtId="0" hierarchy="27" level="32767"/>
    <cacheField name="[Sales_Order].[Year_Id].[Year_Id]" caption="Year_Id" numFmtId="0" hierarchy="7" level="1">
      <sharedItems containsSemiMixedTypes="0" containsNonDate="0" containsString="0"/>
    </cacheField>
  </cacheFields>
  <cacheHierarchies count="29">
    <cacheHierarchy uniqueName="[Sales_Order].[Order number]" caption="Order number" attribute="1" defaultMemberUniqueName="[Sales_Order].[Order number].[All]" allUniqueName="[Sales_Order].[Order number].[All]" dimensionUniqueName="[Sales_Order]" displayFolder="" count="0" memberValueDatatype="20" unbalanced="0"/>
    <cacheHierarchy uniqueName="[Sales_Order].[Quantity ordered]" caption="Quantity ordered" attribute="1" defaultMemberUniqueName="[Sales_Order].[Quantity ordered].[All]" allUniqueName="[Sales_Order].[Quantity ordered].[All]" dimensionUniqueName="[Sales_Order]" displayFolder="" count="0" memberValueDatatype="20" unbalanced="0"/>
    <cacheHierarchy uniqueName="[Sales_Order].[Price each]" caption="Price each" attribute="1" defaultMemberUniqueName="[Sales_Order].[Price each].[All]" allUniqueName="[Sales_Order].[Price each].[All]" dimensionUniqueName="[Sales_Order]" displayFolder="" count="0" memberValueDatatype="5" unbalanced="0"/>
    <cacheHierarchy uniqueName="[Sales_Order].[Orderline number]" caption="Orderline number" attribute="1" defaultMemberUniqueName="[Sales_Order].[Orderline number].[All]" allUniqueName="[Sales_Order].[Orderline number].[All]" dimensionUniqueName="[Sales_Order]" displayFolder="" count="0" memberValueDatatype="20" unbalanced="0"/>
    <cacheHierarchy uniqueName="[Sales_Order].[Orderdate]" caption="Orderdate" attribute="1" time="1" defaultMemberUniqueName="[Sales_Order].[Orderdate].[All]" allUniqueName="[Sales_Order].[Orderdate].[All]" dimensionUniqueName="[Sales_Order]" displayFolder="" count="2" memberValueDatatype="7" unbalanced="0"/>
    <cacheHierarchy uniqueName="[Sales_Order].[Status]" caption="Status" attribute="1" defaultMemberUniqueName="[Sales_Order].[Status].[All]" allUniqueName="[Sales_Order].[Status].[All]" dimensionUniqueName="[Sales_Order]" displayFolder="" count="2" memberValueDatatype="130" unbalanced="0"/>
    <cacheHierarchy uniqueName="[Sales_Order].[Qtr_Id]" caption="Qtr_Id" attribute="1" defaultMemberUniqueName="[Sales_Order].[Qtr_Id].[All]" allUniqueName="[Sales_Order].[Qtr_Id].[All]" dimensionUniqueName="[Sales_Order]" displayFolder="" count="2" memberValueDatatype="20" unbalanced="0">
      <fieldsUsage count="2">
        <fieldUsage x="-1"/>
        <fieldUsage x="1"/>
      </fieldsUsage>
    </cacheHierarchy>
    <cacheHierarchy uniqueName="[Sales_Order].[Year_Id]" caption="Year_Id" attribute="1" defaultMemberUniqueName="[Sales_Order].[Year_Id].[All]" allUniqueName="[Sales_Order].[Year_Id].[All]" dimensionUniqueName="[Sales_Order]" displayFolder="" count="2" memberValueDatatype="20" unbalanced="0">
      <fieldsUsage count="2">
        <fieldUsage x="-1"/>
        <fieldUsage x="3"/>
      </fieldsUsage>
    </cacheHierarchy>
    <cacheHierarchy uniqueName="[Sales_Order].[Product line]" caption="Product line" attribute="1" defaultMemberUniqueName="[Sales_Order].[Product line].[All]" allUniqueName="[Sales_Order].[Product line].[All]" dimensionUniqueName="[Sales_Order]" displayFolder="" count="2" memberValueDatatype="130" unbalanced="0"/>
    <cacheHierarchy uniqueName="[Sales_Order].[Product code]" caption="Product code" attribute="1" defaultMemberUniqueName="[Sales_Order].[Product code].[All]" allUniqueName="[Sales_Order].[Product code].[All]" dimensionUniqueName="[Sales_Order]" displayFolder="" count="0" memberValueDatatype="130" unbalanced="0"/>
    <cacheHierarchy uniqueName="[Sales_Order].[Customer name]" caption="Customer name" attribute="1" defaultMemberUniqueName="[Sales_Order].[Customer name].[All]" allUniqueName="[Sales_Order].[Customer name].[All]" dimensionUniqueName="[Sales_Order]" displayFolder="" count="2" memberValueDatatype="130" unbalanced="0">
      <fieldsUsage count="2">
        <fieldUsage x="-1"/>
        <fieldUsage x="0"/>
      </fieldsUsage>
    </cacheHierarchy>
    <cacheHierarchy uniqueName="[Sales_Order].[Address line]" caption="Address line" attribute="1" defaultMemberUniqueName="[Sales_Order].[Address line].[All]" allUniqueName="[Sales_Order].[Address line].[All]" dimensionUniqueName="[Sales_Order]" displayFolder="" count="0" memberValueDatatype="130" unbalanced="0"/>
    <cacheHierarchy uniqueName="[Sales_Order].[City]" caption="City" attribute="1" defaultMemberUniqueName="[Sales_Order].[City].[All]" allUniqueName="[Sales_Order].[City].[All]" dimensionUniqueName="[Sales_Order]" displayFolder="" count="0" memberValueDatatype="130" unbalanced="0"/>
    <cacheHierarchy uniqueName="[Sales_Order].[State]" caption="State" attribute="1" defaultMemberUniqueName="[Sales_Order].[State].[All]" allUniqueName="[Sales_Order].[State].[All]" dimensionUniqueName="[Sales_Order]" displayFolder="" count="0" memberValueDatatype="130" unbalanced="0"/>
    <cacheHierarchy uniqueName="[Sales_Order].[Postal code]" caption="Postal code" attribute="1" defaultMemberUniqueName="[Sales_Order].[Postal code].[All]" allUniqueName="[Sales_Order].[Postal code].[All]" dimensionUniqueName="[Sales_Order]" displayFolder="" count="0" memberValueDatatype="130" unbalanced="0"/>
    <cacheHierarchy uniqueName="[Sales_Order].[Country]" caption="Country" attribute="1" defaultMemberUniqueName="[Sales_Order].[Country].[All]" allUniqueName="[Sales_Order].[Country].[All]" dimensionUniqueName="[Sales_Order]" displayFolder="" count="2" memberValueDatatype="130" unbalanced="0"/>
    <cacheHierarchy uniqueName="[Sales_Order].[Territory]" caption="Territory" attribute="1" defaultMemberUniqueName="[Sales_Order].[Territory].[All]" allUniqueName="[Sales_Order].[Territory].[All]" dimensionUniqueName="[Sales_Order]" displayFolder="" count="2" memberValueDatatype="130" unbalanced="0"/>
    <cacheHierarchy uniqueName="[Sales_Order].[Contact Name]" caption="Contact Name" attribute="1" defaultMemberUniqueName="[Sales_Order].[Contact Name].[All]" allUniqueName="[Sales_Order].[Contact Name].[All]" dimensionUniqueName="[Sales_Order]" displayFolder="" count="0" memberValueDatatype="130" unbalanced="0"/>
    <cacheHierarchy uniqueName="[Sales_Order].[Dealsize]" caption="Dealsize" attribute="1" defaultMemberUniqueName="[Sales_Order].[Dealsize].[All]" allUniqueName="[Sales_Order].[Dealsize].[All]" dimensionUniqueName="[Sales_Order]" displayFolder="" count="2" memberValueDatatype="130" unbalanced="0"/>
    <cacheHierarchy uniqueName="[Sales_Order].[Month]" caption="Month" attribute="1" defaultMemberUniqueName="[Sales_Order].[Month].[All]" allUniqueName="[Sales_Order].[Month].[All]" dimensionUniqueName="[Sales_Order]" displayFolder="" count="0" memberValueDatatype="130" unbalanced="0"/>
    <cacheHierarchy uniqueName="[Sales_Order].[Sales Amount]" caption="Sales Amount" attribute="1" defaultMemberUniqueName="[Sales_Order].[Sales Amount].[All]" allUniqueName="[Sales_Order].[Sales Amount].[All]" dimensionUniqueName="[Sales_Order]" displayFolder="" count="0" memberValueDatatype="5" unbalanced="0"/>
    <cacheHierarchy uniqueName="[Sales_Order].[Orderdate (Year)]" caption="Orderdate (Year)" attribute="1" defaultMemberUniqueName="[Sales_Order].[Orderdate (Year)].[All]" allUniqueName="[Sales_Order].[Orderdate (Year)].[All]" dimensionUniqueName="[Sales_Order]" displayFolder="" count="2" memberValueDatatype="130" unbalanced="0"/>
    <cacheHierarchy uniqueName="[Sales_Order].[Orderdate (Quarter)]" caption="Orderdate (Quarter)" attribute="1" defaultMemberUniqueName="[Sales_Order].[Orderdate (Quarter)].[All]" allUniqueName="[Sales_Order].[Orderdate (Quarter)].[All]" dimensionUniqueName="[Sales_Order]" displayFolder="" count="0" memberValueDatatype="130" unbalanced="0"/>
    <cacheHierarchy uniqueName="[Sales_Order].[Orderdate (Month)]" caption="Orderdate (Month)" attribute="1" defaultMemberUniqueName="[Sales_Order].[Orderdate (Month)].[All]" allUniqueName="[Sales_Order].[Orderdate (Month)].[All]" dimensionUniqueName="[Sales_Order]" displayFolder="" count="2" memberValueDatatype="130" unbalanced="0"/>
    <cacheHierarchy uniqueName="[Sales_Order].[Orderdate (Month Index)]" caption="Orderdate (Month Index)" attribute="1" defaultMemberUniqueName="[Sales_Order].[Orderdate (Month Index)].[All]" allUniqueName="[Sales_Order].[Orderdate (Month Index)].[All]" dimensionUniqueName="[Sales_Order]" displayFolder="" count="0" memberValueDatatype="20" unbalanced="0" hidden="1"/>
    <cacheHierarchy uniqueName="[Measures].[__XL_Count Sales_Order]" caption="__XL_Count Sales_Order" measure="1" displayFolder="" measureGroup="Sales_Order" count="0" hidden="1"/>
    <cacheHierarchy uniqueName="[Measures].[__No measures defined]" caption="__No measures defined" measure="1" displayFolder="" count="0" hidden="1"/>
    <cacheHierarchy uniqueName="[Measures].[Sum of Sales Amount]" caption="Sum of Sales Amount" measure="1" displayFolder="" measureGroup="Sales_Order"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Order number]" caption="Sum of Order number" measure="1" displayFolder="" measureGroup="Sales_Order"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Order" uniqueName="[Sales_Order]" caption="Sales_Order"/>
  </dimensions>
  <measureGroups count="1">
    <measureGroup name="Sales_Order" caption="Sales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iya P" refreshedDate="46287.810949189814" backgroundQuery="1" createdVersion="8" refreshedVersion="8" minRefreshableVersion="3" recordCount="0" supportSubquery="1" supportAdvancedDrill="1" xr:uid="{7E7EFBE0-01FB-4295-97A2-41E3D0D47D7F}">
  <cacheSource type="external" connectionId="2"/>
  <cacheFields count="5">
    <cacheField name="[Measures].[Sum of Sales Amount]" caption="Sum of Sales Amount" numFmtId="0" hierarchy="27" level="32767"/>
    <cacheField name="[Sales_Order].[Product line].[Product line]" caption="Product line" numFmtId="0" hierarchy="8" level="1">
      <sharedItems count="7">
        <s v="Classic Cars"/>
        <s v="Motorcycles"/>
        <s v="Planes"/>
        <s v="Ships"/>
        <s v="Trains"/>
        <s v="Trucks and Buses"/>
        <s v="Vintage Cars"/>
      </sharedItems>
    </cacheField>
    <cacheField name="[Sales_Order].[Customer name].[Customer name]" caption="Customer name" numFmtId="0" hierarchy="10" level="1">
      <sharedItems count="10">
        <s v="Anna's Decorations, Ltd"/>
        <s v="Australian Collectors, Co."/>
        <s v="Land of Toys Inc."/>
        <s v="Mini Gifts Distributors Ltd."/>
        <s v="Muscle Machine Inc"/>
        <s v="Online Diecast Creations Co."/>
        <s v="Souveniers And Things Co."/>
        <s v="Technics Stores Inc."/>
        <s v="The Sharp Gifts Warehouse"/>
        <s v="Tokyo Collectables, Ltd"/>
      </sharedItems>
    </cacheField>
    <cacheField name="[Sales_Order].[Country].[Country]" caption="Country" numFmtId="0" hierarchy="15" level="1">
      <sharedItems count="5">
        <s v="Australia"/>
        <s v="Canada"/>
        <s v="Japan"/>
        <s v="UK"/>
        <s v="USA"/>
      </sharedItems>
    </cacheField>
    <cacheField name="[Sales_Order].[Year_Id].[Year_Id]" caption="Year_Id" numFmtId="0" hierarchy="7" level="1">
      <sharedItems containsSemiMixedTypes="0" containsNonDate="0" containsString="0"/>
    </cacheField>
  </cacheFields>
  <cacheHierarchies count="29">
    <cacheHierarchy uniqueName="[Sales_Order].[Order number]" caption="Order number" attribute="1" defaultMemberUniqueName="[Sales_Order].[Order number].[All]" allUniqueName="[Sales_Order].[Order number].[All]" dimensionUniqueName="[Sales_Order]" displayFolder="" count="2" memberValueDatatype="20" unbalanced="0"/>
    <cacheHierarchy uniqueName="[Sales_Order].[Quantity ordered]" caption="Quantity ordered" attribute="1" defaultMemberUniqueName="[Sales_Order].[Quantity ordered].[All]" allUniqueName="[Sales_Order].[Quantity ordered].[All]" dimensionUniqueName="[Sales_Order]" displayFolder="" count="2" memberValueDatatype="20" unbalanced="0"/>
    <cacheHierarchy uniqueName="[Sales_Order].[Price each]" caption="Price each" attribute="1" defaultMemberUniqueName="[Sales_Order].[Price each].[All]" allUniqueName="[Sales_Order].[Price each].[All]" dimensionUniqueName="[Sales_Order]" displayFolder="" count="2" memberValueDatatype="5" unbalanced="0"/>
    <cacheHierarchy uniqueName="[Sales_Order].[Orderline number]" caption="Orderline number" attribute="1" defaultMemberUniqueName="[Sales_Order].[Orderline number].[All]" allUniqueName="[Sales_Order].[Orderline number].[All]" dimensionUniqueName="[Sales_Order]" displayFolder="" count="2" memberValueDatatype="20" unbalanced="0"/>
    <cacheHierarchy uniqueName="[Sales_Order].[Orderdate]" caption="Orderdate" attribute="1" time="1" defaultMemberUniqueName="[Sales_Order].[Orderdate].[All]" allUniqueName="[Sales_Order].[Orderdate].[All]" dimensionUniqueName="[Sales_Order]" displayFolder="" count="2" memberValueDatatype="7" unbalanced="0"/>
    <cacheHierarchy uniqueName="[Sales_Order].[Status]" caption="Status" attribute="1" defaultMemberUniqueName="[Sales_Order].[Status].[All]" allUniqueName="[Sales_Order].[Status].[All]" dimensionUniqueName="[Sales_Order]" displayFolder="" count="2" memberValueDatatype="130" unbalanced="0"/>
    <cacheHierarchy uniqueName="[Sales_Order].[Qtr_Id]" caption="Qtr_Id" attribute="1" defaultMemberUniqueName="[Sales_Order].[Qtr_Id].[All]" allUniqueName="[Sales_Order].[Qtr_Id].[All]" dimensionUniqueName="[Sales_Order]" displayFolder="" count="2" memberValueDatatype="20" unbalanced="0"/>
    <cacheHierarchy uniqueName="[Sales_Order].[Year_Id]" caption="Year_Id" attribute="1" defaultMemberUniqueName="[Sales_Order].[Year_Id].[All]" allUniqueName="[Sales_Order].[Year_Id].[All]" dimensionUniqueName="[Sales_Order]" displayFolder="" count="2" memberValueDatatype="20" unbalanced="0">
      <fieldsUsage count="2">
        <fieldUsage x="-1"/>
        <fieldUsage x="4"/>
      </fieldsUsage>
    </cacheHierarchy>
    <cacheHierarchy uniqueName="[Sales_Order].[Product line]" caption="Product line" attribute="1" defaultMemberUniqueName="[Sales_Order].[Product line].[All]" allUniqueName="[Sales_Order].[Product line].[All]" dimensionUniqueName="[Sales_Order]" displayFolder="" count="2" memberValueDatatype="130" unbalanced="0">
      <fieldsUsage count="2">
        <fieldUsage x="-1"/>
        <fieldUsage x="1"/>
      </fieldsUsage>
    </cacheHierarchy>
    <cacheHierarchy uniqueName="[Sales_Order].[Product code]" caption="Product code" attribute="1" defaultMemberUniqueName="[Sales_Order].[Product code].[All]" allUniqueName="[Sales_Order].[Product code].[All]" dimensionUniqueName="[Sales_Order]" displayFolder="" count="2" memberValueDatatype="130" unbalanced="0"/>
    <cacheHierarchy uniqueName="[Sales_Order].[Customer name]" caption="Customer name" attribute="1" defaultMemberUniqueName="[Sales_Order].[Customer name].[All]" allUniqueName="[Sales_Order].[Customer name].[All]" dimensionUniqueName="[Sales_Order]" displayFolder="" count="2" memberValueDatatype="130" unbalanced="0">
      <fieldsUsage count="2">
        <fieldUsage x="-1"/>
        <fieldUsage x="2"/>
      </fieldsUsage>
    </cacheHierarchy>
    <cacheHierarchy uniqueName="[Sales_Order].[Address line]" caption="Address line" attribute="1" defaultMemberUniqueName="[Sales_Order].[Address line].[All]" allUniqueName="[Sales_Order].[Address line].[All]" dimensionUniqueName="[Sales_Order]" displayFolder="" count="2" memberValueDatatype="130" unbalanced="0"/>
    <cacheHierarchy uniqueName="[Sales_Order].[City]" caption="City" attribute="1" defaultMemberUniqueName="[Sales_Order].[City].[All]" allUniqueName="[Sales_Order].[City].[All]" dimensionUniqueName="[Sales_Order]" displayFolder="" count="2" memberValueDatatype="130" unbalanced="0"/>
    <cacheHierarchy uniqueName="[Sales_Order].[State]" caption="State" attribute="1" defaultMemberUniqueName="[Sales_Order].[State].[All]" allUniqueName="[Sales_Order].[State].[All]" dimensionUniqueName="[Sales_Order]" displayFolder="" count="2" memberValueDatatype="130" unbalanced="0"/>
    <cacheHierarchy uniqueName="[Sales_Order].[Postal code]" caption="Postal code" attribute="1" defaultMemberUniqueName="[Sales_Order].[Postal code].[All]" allUniqueName="[Sales_Order].[Postal code].[All]" dimensionUniqueName="[Sales_Order]" displayFolder="" count="2" memberValueDatatype="130" unbalanced="0"/>
    <cacheHierarchy uniqueName="[Sales_Order].[Country]" caption="Country" attribute="1" defaultMemberUniqueName="[Sales_Order].[Country].[All]" allUniqueName="[Sales_Order].[Country].[All]" dimensionUniqueName="[Sales_Order]" displayFolder="" count="2" memberValueDatatype="130" unbalanced="0">
      <fieldsUsage count="2">
        <fieldUsage x="-1"/>
        <fieldUsage x="3"/>
      </fieldsUsage>
    </cacheHierarchy>
    <cacheHierarchy uniqueName="[Sales_Order].[Territory]" caption="Territory" attribute="1" defaultMemberUniqueName="[Sales_Order].[Territory].[All]" allUniqueName="[Sales_Order].[Territory].[All]" dimensionUniqueName="[Sales_Order]" displayFolder="" count="2" memberValueDatatype="130" unbalanced="0"/>
    <cacheHierarchy uniqueName="[Sales_Order].[Contact Name]" caption="Contact Name" attribute="1" defaultMemberUniqueName="[Sales_Order].[Contact Name].[All]" allUniqueName="[Sales_Order].[Contact Name].[All]" dimensionUniqueName="[Sales_Order]" displayFolder="" count="2" memberValueDatatype="130" unbalanced="0"/>
    <cacheHierarchy uniqueName="[Sales_Order].[Dealsize]" caption="Dealsize" attribute="1" defaultMemberUniqueName="[Sales_Order].[Dealsize].[All]" allUniqueName="[Sales_Order].[Dealsize].[All]" dimensionUniqueName="[Sales_Order]" displayFolder="" count="2" memberValueDatatype="130" unbalanced="0"/>
    <cacheHierarchy uniqueName="[Sales_Order].[Month]" caption="Month" attribute="1" defaultMemberUniqueName="[Sales_Order].[Month].[All]" allUniqueName="[Sales_Order].[Month].[All]" dimensionUniqueName="[Sales_Order]" displayFolder="" count="2" memberValueDatatype="130" unbalanced="0"/>
    <cacheHierarchy uniqueName="[Sales_Order].[Sales Amount]" caption="Sales Amount" attribute="1" defaultMemberUniqueName="[Sales_Order].[Sales Amount].[All]" allUniqueName="[Sales_Order].[Sales Amount].[All]" dimensionUniqueName="[Sales_Order]" displayFolder="" count="2" memberValueDatatype="5" unbalanced="0"/>
    <cacheHierarchy uniqueName="[Sales_Order].[Orderdate (Year)]" caption="Orderdate (Year)" attribute="1" defaultMemberUniqueName="[Sales_Order].[Orderdate (Year)].[All]" allUniqueName="[Sales_Order].[Orderdate (Year)].[All]" dimensionUniqueName="[Sales_Order]" displayFolder="" count="2" memberValueDatatype="130" unbalanced="0"/>
    <cacheHierarchy uniqueName="[Sales_Order].[Orderdate (Quarter)]" caption="Orderdate (Quarter)" attribute="1" defaultMemberUniqueName="[Sales_Order].[Orderdate (Quarter)].[All]" allUniqueName="[Sales_Order].[Orderdate (Quarter)].[All]" dimensionUniqueName="[Sales_Order]" displayFolder="" count="2" memberValueDatatype="130" unbalanced="0"/>
    <cacheHierarchy uniqueName="[Sales_Order].[Orderdate (Month)]" caption="Orderdate (Month)" attribute="1" defaultMemberUniqueName="[Sales_Order].[Orderdate (Month)].[All]" allUniqueName="[Sales_Order].[Orderdate (Month)].[All]" dimensionUniqueName="[Sales_Order]" displayFolder="" count="2" memberValueDatatype="130" unbalanced="0"/>
    <cacheHierarchy uniqueName="[Sales_Order].[Orderdate (Month Index)]" caption="Orderdate (Month Index)" attribute="1" defaultMemberUniqueName="[Sales_Order].[Orderdate (Month Index)].[All]" allUniqueName="[Sales_Order].[Orderdate (Month Index)].[All]" dimensionUniqueName="[Sales_Order]" displayFolder="" count="2" memberValueDatatype="20" unbalanced="0" hidden="1"/>
    <cacheHierarchy uniqueName="[Measures].[__XL_Count Sales_Order]" caption="__XL_Count Sales_Order" measure="1" displayFolder="" measureGroup="Sales_Order" count="0" hidden="1"/>
    <cacheHierarchy uniqueName="[Measures].[__No measures defined]" caption="__No measures defined" measure="1" displayFolder="" count="0" hidden="1"/>
    <cacheHierarchy uniqueName="[Measures].[Sum of Sales Amount]" caption="Sum of Sales Amount" measure="1" displayFolder="" measureGroup="Sales_Order"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Order number]" caption="Sum of Order number" measure="1" displayFolder="" measureGroup="Sales_Order"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Order" uniqueName="[Sales_Order]" caption="Sales_Order"/>
  </dimensions>
  <measureGroups count="1">
    <measureGroup name="Sales_Order" caption="Sales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iya P" refreshedDate="46287.81094988426" backgroundQuery="1" createdVersion="8" refreshedVersion="8" minRefreshableVersion="3" recordCount="0" supportSubquery="1" supportAdvancedDrill="1" xr:uid="{3A24C576-AB93-41EB-81BD-CB5CD9643BA7}">
  <cacheSource type="external" connectionId="2"/>
  <cacheFields count="4">
    <cacheField name="[Sales_Order].[Customer name].[Customer name]" caption="Customer name" numFmtId="0" hierarchy="10" level="1">
      <sharedItems count="10">
        <s v="Anna's Decorations, Ltd"/>
        <s v="Australian Collectors, Co."/>
        <s v="Land of Toys Inc."/>
        <s v="Mini Gifts Distributors Ltd."/>
        <s v="Muscle Machine Inc"/>
        <s v="Online Diecast Creations Co."/>
        <s v="Souveniers And Things Co."/>
        <s v="Technics Stores Inc."/>
        <s v="The Sharp Gifts Warehouse"/>
        <s v="Tokyo Collectables, Ltd"/>
      </sharedItems>
    </cacheField>
    <cacheField name="[Sales_Order].[Dealsize].[Dealsize]" caption="Dealsize" numFmtId="0" hierarchy="18" level="1">
      <sharedItems count="3">
        <s v="Large"/>
        <s v="Medium"/>
        <s v="Small"/>
      </sharedItems>
    </cacheField>
    <cacheField name="[Measures].[Sum of Sales Amount]" caption="Sum of Sales Amount" numFmtId="0" hierarchy="27" level="32767"/>
    <cacheField name="[Sales_Order].[Year_Id].[Year_Id]" caption="Year_Id" numFmtId="0" hierarchy="7" level="1">
      <sharedItems containsSemiMixedTypes="0" containsNonDate="0" containsString="0"/>
    </cacheField>
  </cacheFields>
  <cacheHierarchies count="29">
    <cacheHierarchy uniqueName="[Sales_Order].[Order number]" caption="Order number" attribute="1" defaultMemberUniqueName="[Sales_Order].[Order number].[All]" allUniqueName="[Sales_Order].[Order number].[All]" dimensionUniqueName="[Sales_Order]" displayFolder="" count="2" memberValueDatatype="20" unbalanced="0"/>
    <cacheHierarchy uniqueName="[Sales_Order].[Quantity ordered]" caption="Quantity ordered" attribute="1" defaultMemberUniqueName="[Sales_Order].[Quantity ordered].[All]" allUniqueName="[Sales_Order].[Quantity ordered].[All]" dimensionUniqueName="[Sales_Order]" displayFolder="" count="2" memberValueDatatype="20" unbalanced="0"/>
    <cacheHierarchy uniqueName="[Sales_Order].[Price each]" caption="Price each" attribute="1" defaultMemberUniqueName="[Sales_Order].[Price each].[All]" allUniqueName="[Sales_Order].[Price each].[All]" dimensionUniqueName="[Sales_Order]" displayFolder="" count="2" memberValueDatatype="5" unbalanced="0"/>
    <cacheHierarchy uniqueName="[Sales_Order].[Orderline number]" caption="Orderline number" attribute="1" defaultMemberUniqueName="[Sales_Order].[Orderline number].[All]" allUniqueName="[Sales_Order].[Orderline number].[All]" dimensionUniqueName="[Sales_Order]" displayFolder="" count="2" memberValueDatatype="20" unbalanced="0"/>
    <cacheHierarchy uniqueName="[Sales_Order].[Orderdate]" caption="Orderdate" attribute="1" time="1" defaultMemberUniqueName="[Sales_Order].[Orderdate].[All]" allUniqueName="[Sales_Order].[Orderdate].[All]" dimensionUniqueName="[Sales_Order]" displayFolder="" count="2" memberValueDatatype="7" unbalanced="0"/>
    <cacheHierarchy uniqueName="[Sales_Order].[Status]" caption="Status" attribute="1" defaultMemberUniqueName="[Sales_Order].[Status].[All]" allUniqueName="[Sales_Order].[Status].[All]" dimensionUniqueName="[Sales_Order]" displayFolder="" count="2" memberValueDatatype="130" unbalanced="0"/>
    <cacheHierarchy uniqueName="[Sales_Order].[Qtr_Id]" caption="Qtr_Id" attribute="1" defaultMemberUniqueName="[Sales_Order].[Qtr_Id].[All]" allUniqueName="[Sales_Order].[Qtr_Id].[All]" dimensionUniqueName="[Sales_Order]" displayFolder="" count="2" memberValueDatatype="20" unbalanced="0"/>
    <cacheHierarchy uniqueName="[Sales_Order].[Year_Id]" caption="Year_Id" attribute="1" defaultMemberUniqueName="[Sales_Order].[Year_Id].[All]" allUniqueName="[Sales_Order].[Year_Id].[All]" dimensionUniqueName="[Sales_Order]" displayFolder="" count="2" memberValueDatatype="20" unbalanced="0">
      <fieldsUsage count="2">
        <fieldUsage x="-1"/>
        <fieldUsage x="3"/>
      </fieldsUsage>
    </cacheHierarchy>
    <cacheHierarchy uniqueName="[Sales_Order].[Product line]" caption="Product line" attribute="1" defaultMemberUniqueName="[Sales_Order].[Product line].[All]" allUniqueName="[Sales_Order].[Product line].[All]" dimensionUniqueName="[Sales_Order]" displayFolder="" count="2" memberValueDatatype="130" unbalanced="0"/>
    <cacheHierarchy uniqueName="[Sales_Order].[Product code]" caption="Product code" attribute="1" defaultMemberUniqueName="[Sales_Order].[Product code].[All]" allUniqueName="[Sales_Order].[Product code].[All]" dimensionUniqueName="[Sales_Order]" displayFolder="" count="2" memberValueDatatype="130" unbalanced="0"/>
    <cacheHierarchy uniqueName="[Sales_Order].[Customer name]" caption="Customer name" attribute="1" defaultMemberUniqueName="[Sales_Order].[Customer name].[All]" allUniqueName="[Sales_Order].[Customer name].[All]" dimensionUniqueName="[Sales_Order]" displayFolder="" count="2" memberValueDatatype="130" unbalanced="0">
      <fieldsUsage count="2">
        <fieldUsage x="-1"/>
        <fieldUsage x="0"/>
      </fieldsUsage>
    </cacheHierarchy>
    <cacheHierarchy uniqueName="[Sales_Order].[Address line]" caption="Address line" attribute="1" defaultMemberUniqueName="[Sales_Order].[Address line].[All]" allUniqueName="[Sales_Order].[Address line].[All]" dimensionUniqueName="[Sales_Order]" displayFolder="" count="2" memberValueDatatype="130" unbalanced="0"/>
    <cacheHierarchy uniqueName="[Sales_Order].[City]" caption="City" attribute="1" defaultMemberUniqueName="[Sales_Order].[City].[All]" allUniqueName="[Sales_Order].[City].[All]" dimensionUniqueName="[Sales_Order]" displayFolder="" count="2" memberValueDatatype="130" unbalanced="0"/>
    <cacheHierarchy uniqueName="[Sales_Order].[State]" caption="State" attribute="1" defaultMemberUniqueName="[Sales_Order].[State].[All]" allUniqueName="[Sales_Order].[State].[All]" dimensionUniqueName="[Sales_Order]" displayFolder="" count="2" memberValueDatatype="130" unbalanced="0"/>
    <cacheHierarchy uniqueName="[Sales_Order].[Postal code]" caption="Postal code" attribute="1" defaultMemberUniqueName="[Sales_Order].[Postal code].[All]" allUniqueName="[Sales_Order].[Postal code].[All]" dimensionUniqueName="[Sales_Order]" displayFolder="" count="2" memberValueDatatype="130" unbalanced="0"/>
    <cacheHierarchy uniqueName="[Sales_Order].[Country]" caption="Country" attribute="1" defaultMemberUniqueName="[Sales_Order].[Country].[All]" allUniqueName="[Sales_Order].[Country].[All]" dimensionUniqueName="[Sales_Order]" displayFolder="" count="2" memberValueDatatype="130" unbalanced="0"/>
    <cacheHierarchy uniqueName="[Sales_Order].[Territory]" caption="Territory" attribute="1" defaultMemberUniqueName="[Sales_Order].[Territory].[All]" allUniqueName="[Sales_Order].[Territory].[All]" dimensionUniqueName="[Sales_Order]" displayFolder="" count="2" memberValueDatatype="130" unbalanced="0"/>
    <cacheHierarchy uniqueName="[Sales_Order].[Contact Name]" caption="Contact Name" attribute="1" defaultMemberUniqueName="[Sales_Order].[Contact Name].[All]" allUniqueName="[Sales_Order].[Contact Name].[All]" dimensionUniqueName="[Sales_Order]" displayFolder="" count="2" memberValueDatatype="130" unbalanced="0"/>
    <cacheHierarchy uniqueName="[Sales_Order].[Dealsize]" caption="Dealsize" attribute="1" defaultMemberUniqueName="[Sales_Order].[Dealsize].[All]" allUniqueName="[Sales_Order].[Dealsize].[All]" dimensionUniqueName="[Sales_Order]" displayFolder="" count="2" memberValueDatatype="130" unbalanced="0">
      <fieldsUsage count="2">
        <fieldUsage x="-1"/>
        <fieldUsage x="1"/>
      </fieldsUsage>
    </cacheHierarchy>
    <cacheHierarchy uniqueName="[Sales_Order].[Month]" caption="Month" attribute="1" defaultMemberUniqueName="[Sales_Order].[Month].[All]" allUniqueName="[Sales_Order].[Month].[All]" dimensionUniqueName="[Sales_Order]" displayFolder="" count="2" memberValueDatatype="130" unbalanced="0"/>
    <cacheHierarchy uniqueName="[Sales_Order].[Sales Amount]" caption="Sales Amount" attribute="1" defaultMemberUniqueName="[Sales_Order].[Sales Amount].[All]" allUniqueName="[Sales_Order].[Sales Amount].[All]" dimensionUniqueName="[Sales_Order]" displayFolder="" count="2" memberValueDatatype="5" unbalanced="0"/>
    <cacheHierarchy uniqueName="[Sales_Order].[Orderdate (Year)]" caption="Orderdate (Year)" attribute="1" defaultMemberUniqueName="[Sales_Order].[Orderdate (Year)].[All]" allUniqueName="[Sales_Order].[Orderdate (Year)].[All]" dimensionUniqueName="[Sales_Order]" displayFolder="" count="2" memberValueDatatype="130" unbalanced="0"/>
    <cacheHierarchy uniqueName="[Sales_Order].[Orderdate (Quarter)]" caption="Orderdate (Quarter)" attribute="1" defaultMemberUniqueName="[Sales_Order].[Orderdate (Quarter)].[All]" allUniqueName="[Sales_Order].[Orderdate (Quarter)].[All]" dimensionUniqueName="[Sales_Order]" displayFolder="" count="2" memberValueDatatype="130" unbalanced="0"/>
    <cacheHierarchy uniqueName="[Sales_Order].[Orderdate (Month)]" caption="Orderdate (Month)" attribute="1" defaultMemberUniqueName="[Sales_Order].[Orderdate (Month)].[All]" allUniqueName="[Sales_Order].[Orderdate (Month)].[All]" dimensionUniqueName="[Sales_Order]" displayFolder="" count="2" memberValueDatatype="130" unbalanced="0"/>
    <cacheHierarchy uniqueName="[Sales_Order].[Orderdate (Month Index)]" caption="Orderdate (Month Index)" attribute="1" defaultMemberUniqueName="[Sales_Order].[Orderdate (Month Index)].[All]" allUniqueName="[Sales_Order].[Orderdate (Month Index)].[All]" dimensionUniqueName="[Sales_Order]" displayFolder="" count="2" memberValueDatatype="20" unbalanced="0" hidden="1"/>
    <cacheHierarchy uniqueName="[Measures].[__XL_Count Sales_Order]" caption="__XL_Count Sales_Order" measure="1" displayFolder="" measureGroup="Sales_Order" count="0" hidden="1"/>
    <cacheHierarchy uniqueName="[Measures].[__No measures defined]" caption="__No measures defined" measure="1" displayFolder="" count="0" hidden="1"/>
    <cacheHierarchy uniqueName="[Measures].[Sum of Sales Amount]" caption="Sum of Sales Amount" measure="1" displayFolder="" measureGroup="Sales_Order"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Order number]" caption="Sum of Order number" measure="1" displayFolder="" measureGroup="Sales_Order"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Order" uniqueName="[Sales_Order]" caption="Sales_Order"/>
  </dimensions>
  <measureGroups count="1">
    <measureGroup name="Sales_Order" caption="Sales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iya P" refreshedDate="46287.810950694446" backgroundQuery="1" createdVersion="8" refreshedVersion="8" minRefreshableVersion="3" recordCount="0" supportSubquery="1" supportAdvancedDrill="1" xr:uid="{147E848D-E736-4A97-8D13-98E37684F69B}">
  <cacheSource type="external" connectionId="2"/>
  <cacheFields count="3">
    <cacheField name="[Measures].[Sum of Sales Amount]" caption="Sum of Sales Amount" numFmtId="0" hierarchy="27" level="32767"/>
    <cacheField name="[Sales_Order].[Product line].[Product line]" caption="Product line" numFmtId="0" hierarchy="8" level="1">
      <sharedItems count="7">
        <s v="Classic Cars"/>
        <s v="Motorcycles"/>
        <s v="Planes"/>
        <s v="Ships"/>
        <s v="Trains"/>
        <s v="Trucks and Buses"/>
        <s v="Vintage Cars"/>
      </sharedItems>
    </cacheField>
    <cacheField name="[Sales_Order].[Year_Id].[Year_Id]" caption="Year_Id" numFmtId="0" hierarchy="7" level="1">
      <sharedItems containsSemiMixedTypes="0" containsNonDate="0" containsString="0"/>
    </cacheField>
  </cacheFields>
  <cacheHierarchies count="29">
    <cacheHierarchy uniqueName="[Sales_Order].[Order number]" caption="Order number" attribute="1" defaultMemberUniqueName="[Sales_Order].[Order number].[All]" allUniqueName="[Sales_Order].[Order number].[All]" dimensionUniqueName="[Sales_Order]" displayFolder="" count="2" memberValueDatatype="20" unbalanced="0"/>
    <cacheHierarchy uniqueName="[Sales_Order].[Quantity ordered]" caption="Quantity ordered" attribute="1" defaultMemberUniqueName="[Sales_Order].[Quantity ordered].[All]" allUniqueName="[Sales_Order].[Quantity ordered].[All]" dimensionUniqueName="[Sales_Order]" displayFolder="" count="2" memberValueDatatype="20" unbalanced="0"/>
    <cacheHierarchy uniqueName="[Sales_Order].[Price each]" caption="Price each" attribute="1" defaultMemberUniqueName="[Sales_Order].[Price each].[All]" allUniqueName="[Sales_Order].[Price each].[All]" dimensionUniqueName="[Sales_Order]" displayFolder="" count="2" memberValueDatatype="5" unbalanced="0"/>
    <cacheHierarchy uniqueName="[Sales_Order].[Orderline number]" caption="Orderline number" attribute="1" defaultMemberUniqueName="[Sales_Order].[Orderline number].[All]" allUniqueName="[Sales_Order].[Orderline number].[All]" dimensionUniqueName="[Sales_Order]" displayFolder="" count="2" memberValueDatatype="20" unbalanced="0"/>
    <cacheHierarchy uniqueName="[Sales_Order].[Orderdate]" caption="Orderdate" attribute="1" time="1" defaultMemberUniqueName="[Sales_Order].[Orderdate].[All]" allUniqueName="[Sales_Order].[Orderdate].[All]" dimensionUniqueName="[Sales_Order]" displayFolder="" count="2" memberValueDatatype="7" unbalanced="0"/>
    <cacheHierarchy uniqueName="[Sales_Order].[Status]" caption="Status" attribute="1" defaultMemberUniqueName="[Sales_Order].[Status].[All]" allUniqueName="[Sales_Order].[Status].[All]" dimensionUniqueName="[Sales_Order]" displayFolder="" count="2" memberValueDatatype="130" unbalanced="0"/>
    <cacheHierarchy uniqueName="[Sales_Order].[Qtr_Id]" caption="Qtr_Id" attribute="1" defaultMemberUniqueName="[Sales_Order].[Qtr_Id].[All]" allUniqueName="[Sales_Order].[Qtr_Id].[All]" dimensionUniqueName="[Sales_Order]" displayFolder="" count="2" memberValueDatatype="20" unbalanced="0"/>
    <cacheHierarchy uniqueName="[Sales_Order].[Year_Id]" caption="Year_Id" attribute="1" defaultMemberUniqueName="[Sales_Order].[Year_Id].[All]" allUniqueName="[Sales_Order].[Year_Id].[All]" dimensionUniqueName="[Sales_Order]" displayFolder="" count="2" memberValueDatatype="20" unbalanced="0">
      <fieldsUsage count="2">
        <fieldUsage x="-1"/>
        <fieldUsage x="2"/>
      </fieldsUsage>
    </cacheHierarchy>
    <cacheHierarchy uniqueName="[Sales_Order].[Product line]" caption="Product line" attribute="1" defaultMemberUniqueName="[Sales_Order].[Product line].[All]" allUniqueName="[Sales_Order].[Product line].[All]" dimensionUniqueName="[Sales_Order]" displayFolder="" count="2" memberValueDatatype="130" unbalanced="0">
      <fieldsUsage count="2">
        <fieldUsage x="-1"/>
        <fieldUsage x="1"/>
      </fieldsUsage>
    </cacheHierarchy>
    <cacheHierarchy uniqueName="[Sales_Order].[Product code]" caption="Product code" attribute="1" defaultMemberUniqueName="[Sales_Order].[Product code].[All]" allUniqueName="[Sales_Order].[Product code].[All]" dimensionUniqueName="[Sales_Order]" displayFolder="" count="2" memberValueDatatype="130" unbalanced="0"/>
    <cacheHierarchy uniqueName="[Sales_Order].[Customer name]" caption="Customer name" attribute="1" defaultMemberUniqueName="[Sales_Order].[Customer name].[All]" allUniqueName="[Sales_Order].[Customer name].[All]" dimensionUniqueName="[Sales_Order]" displayFolder="" count="2" memberValueDatatype="130" unbalanced="0"/>
    <cacheHierarchy uniqueName="[Sales_Order].[Address line]" caption="Address line" attribute="1" defaultMemberUniqueName="[Sales_Order].[Address line].[All]" allUniqueName="[Sales_Order].[Address line].[All]" dimensionUniqueName="[Sales_Order]" displayFolder="" count="2" memberValueDatatype="130" unbalanced="0"/>
    <cacheHierarchy uniqueName="[Sales_Order].[City]" caption="City" attribute="1" defaultMemberUniqueName="[Sales_Order].[City].[All]" allUniqueName="[Sales_Order].[City].[All]" dimensionUniqueName="[Sales_Order]" displayFolder="" count="2" memberValueDatatype="130" unbalanced="0"/>
    <cacheHierarchy uniqueName="[Sales_Order].[State]" caption="State" attribute="1" defaultMemberUniqueName="[Sales_Order].[State].[All]" allUniqueName="[Sales_Order].[State].[All]" dimensionUniqueName="[Sales_Order]" displayFolder="" count="2" memberValueDatatype="130" unbalanced="0"/>
    <cacheHierarchy uniqueName="[Sales_Order].[Postal code]" caption="Postal code" attribute="1" defaultMemberUniqueName="[Sales_Order].[Postal code].[All]" allUniqueName="[Sales_Order].[Postal code].[All]" dimensionUniqueName="[Sales_Order]" displayFolder="" count="2" memberValueDatatype="130" unbalanced="0"/>
    <cacheHierarchy uniqueName="[Sales_Order].[Country]" caption="Country" attribute="1" defaultMemberUniqueName="[Sales_Order].[Country].[All]" allUniqueName="[Sales_Order].[Country].[All]" dimensionUniqueName="[Sales_Order]" displayFolder="" count="2" memberValueDatatype="130" unbalanced="0"/>
    <cacheHierarchy uniqueName="[Sales_Order].[Territory]" caption="Territory" attribute="1" defaultMemberUniqueName="[Sales_Order].[Territory].[All]" allUniqueName="[Sales_Order].[Territory].[All]" dimensionUniqueName="[Sales_Order]" displayFolder="" count="2" memberValueDatatype="130" unbalanced="0"/>
    <cacheHierarchy uniqueName="[Sales_Order].[Contact Name]" caption="Contact Name" attribute="1" defaultMemberUniqueName="[Sales_Order].[Contact Name].[All]" allUniqueName="[Sales_Order].[Contact Name].[All]" dimensionUniqueName="[Sales_Order]" displayFolder="" count="2" memberValueDatatype="130" unbalanced="0"/>
    <cacheHierarchy uniqueName="[Sales_Order].[Dealsize]" caption="Dealsize" attribute="1" defaultMemberUniqueName="[Sales_Order].[Dealsize].[All]" allUniqueName="[Sales_Order].[Dealsize].[All]" dimensionUniqueName="[Sales_Order]" displayFolder="" count="2" memberValueDatatype="130" unbalanced="0"/>
    <cacheHierarchy uniqueName="[Sales_Order].[Month]" caption="Month" attribute="1" defaultMemberUniqueName="[Sales_Order].[Month].[All]" allUniqueName="[Sales_Order].[Month].[All]" dimensionUniqueName="[Sales_Order]" displayFolder="" count="2" memberValueDatatype="130" unbalanced="0"/>
    <cacheHierarchy uniqueName="[Sales_Order].[Sales Amount]" caption="Sales Amount" attribute="1" defaultMemberUniqueName="[Sales_Order].[Sales Amount].[All]" allUniqueName="[Sales_Order].[Sales Amount].[All]" dimensionUniqueName="[Sales_Order]" displayFolder="" count="2" memberValueDatatype="5" unbalanced="0"/>
    <cacheHierarchy uniqueName="[Sales_Order].[Orderdate (Year)]" caption="Orderdate (Year)" attribute="1" defaultMemberUniqueName="[Sales_Order].[Orderdate (Year)].[All]" allUniqueName="[Sales_Order].[Orderdate (Year)].[All]" dimensionUniqueName="[Sales_Order]" displayFolder="" count="2" memberValueDatatype="130" unbalanced="0"/>
    <cacheHierarchy uniqueName="[Sales_Order].[Orderdate (Quarter)]" caption="Orderdate (Quarter)" attribute="1" defaultMemberUniqueName="[Sales_Order].[Orderdate (Quarter)].[All]" allUniqueName="[Sales_Order].[Orderdate (Quarter)].[All]" dimensionUniqueName="[Sales_Order]" displayFolder="" count="2" memberValueDatatype="130" unbalanced="0"/>
    <cacheHierarchy uniqueName="[Sales_Order].[Orderdate (Month)]" caption="Orderdate (Month)" attribute="1" defaultMemberUniqueName="[Sales_Order].[Orderdate (Month)].[All]" allUniqueName="[Sales_Order].[Orderdate (Month)].[All]" dimensionUniqueName="[Sales_Order]" displayFolder="" count="2" memberValueDatatype="130" unbalanced="0"/>
    <cacheHierarchy uniqueName="[Sales_Order].[Orderdate (Month Index)]" caption="Orderdate (Month Index)" attribute="1" defaultMemberUniqueName="[Sales_Order].[Orderdate (Month Index)].[All]" allUniqueName="[Sales_Order].[Orderdate (Month Index)].[All]" dimensionUniqueName="[Sales_Order]" displayFolder="" count="2" memberValueDatatype="20" unbalanced="0" hidden="1"/>
    <cacheHierarchy uniqueName="[Measures].[__XL_Count Sales_Order]" caption="__XL_Count Sales_Order" measure="1" displayFolder="" measureGroup="Sales_Order" count="0" hidden="1"/>
    <cacheHierarchy uniqueName="[Measures].[__No measures defined]" caption="__No measures defined" measure="1" displayFolder="" count="0" hidden="1"/>
    <cacheHierarchy uniqueName="[Measures].[Sum of Sales Amount]" caption="Sum of Sales Amount" measure="1" displayFolder="" measureGroup="Sales_Order"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Order number]" caption="Sum of Order number" measure="1" displayFolder="" measureGroup="Sales_Order"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Order" uniqueName="[Sales_Order]" caption="Sales_Order"/>
  </dimensions>
  <measureGroups count="1">
    <measureGroup name="Sales_Order" caption="Sales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iya P" refreshedDate="46287.810951388892" backgroundQuery="1" createdVersion="8" refreshedVersion="8" minRefreshableVersion="3" recordCount="0" supportSubquery="1" supportAdvancedDrill="1" xr:uid="{E4BAC3A8-447B-4971-A56A-26A74393A2BF}">
  <cacheSource type="external" connectionId="2"/>
  <cacheFields count="4">
    <cacheField name="[Sales_Order].[Customer name].[Customer name]" caption="Customer name" numFmtId="0" hierarchy="10" level="1">
      <sharedItems count="10">
        <s v="Anna's Decorations, Ltd"/>
        <s v="Australian Collectors, Co."/>
        <s v="Land of Toys Inc."/>
        <s v="Mini Gifts Distributors Ltd."/>
        <s v="Muscle Machine Inc"/>
        <s v="Online Diecast Creations Co."/>
        <s v="Souveniers And Things Co."/>
        <s v="Technics Stores Inc."/>
        <s v="The Sharp Gifts Warehouse"/>
        <s v="Tokyo Collectables, Ltd"/>
      </sharedItems>
    </cacheField>
    <cacheField name="[Measures].[Sum of Sales Amount]" caption="Sum of Sales Amount" numFmtId="0" hierarchy="27" level="32767"/>
    <cacheField name="[Sales_Order].[Territory].[Territory]" caption="Territory" numFmtId="0" hierarchy="16" level="1">
      <sharedItems count="4">
        <s v="APAC"/>
        <s v="EMEA"/>
        <s v="Japan"/>
        <s v="NA"/>
      </sharedItems>
    </cacheField>
    <cacheField name="[Sales_Order].[Year_Id].[Year_Id]" caption="Year_Id" numFmtId="0" hierarchy="7" level="1">
      <sharedItems containsSemiMixedTypes="0" containsNonDate="0" containsString="0"/>
    </cacheField>
  </cacheFields>
  <cacheHierarchies count="29">
    <cacheHierarchy uniqueName="[Sales_Order].[Order number]" caption="Order number" attribute="1" defaultMemberUniqueName="[Sales_Order].[Order number].[All]" allUniqueName="[Sales_Order].[Order number].[All]" dimensionUniqueName="[Sales_Order]" displayFolder="" count="0" memberValueDatatype="20" unbalanced="0"/>
    <cacheHierarchy uniqueName="[Sales_Order].[Quantity ordered]" caption="Quantity ordered" attribute="1" defaultMemberUniqueName="[Sales_Order].[Quantity ordered].[All]" allUniqueName="[Sales_Order].[Quantity ordered].[All]" dimensionUniqueName="[Sales_Order]" displayFolder="" count="0" memberValueDatatype="20" unbalanced="0"/>
    <cacheHierarchy uniqueName="[Sales_Order].[Price each]" caption="Price each" attribute="1" defaultMemberUniqueName="[Sales_Order].[Price each].[All]" allUniqueName="[Sales_Order].[Price each].[All]" dimensionUniqueName="[Sales_Order]" displayFolder="" count="0" memberValueDatatype="5" unbalanced="0"/>
    <cacheHierarchy uniqueName="[Sales_Order].[Orderline number]" caption="Orderline number" attribute="1" defaultMemberUniqueName="[Sales_Order].[Orderline number].[All]" allUniqueName="[Sales_Order].[Orderline number].[All]" dimensionUniqueName="[Sales_Order]" displayFolder="" count="0" memberValueDatatype="20" unbalanced="0"/>
    <cacheHierarchy uniqueName="[Sales_Order].[Orderdate]" caption="Orderdate" attribute="1" time="1" defaultMemberUniqueName="[Sales_Order].[Orderdate].[All]" allUniqueName="[Sales_Order].[Orderdate].[All]" dimensionUniqueName="[Sales_Order]" displayFolder="" count="2" memberValueDatatype="7" unbalanced="0"/>
    <cacheHierarchy uniqueName="[Sales_Order].[Status]" caption="Status" attribute="1" defaultMemberUniqueName="[Sales_Order].[Status].[All]" allUniqueName="[Sales_Order].[Status].[All]" dimensionUniqueName="[Sales_Order]" displayFolder="" count="2" memberValueDatatype="130" unbalanced="0"/>
    <cacheHierarchy uniqueName="[Sales_Order].[Qtr_Id]" caption="Qtr_Id" attribute="1" defaultMemberUniqueName="[Sales_Order].[Qtr_Id].[All]" allUniqueName="[Sales_Order].[Qtr_Id].[All]" dimensionUniqueName="[Sales_Order]" displayFolder="" count="2" memberValueDatatype="20" unbalanced="0"/>
    <cacheHierarchy uniqueName="[Sales_Order].[Year_Id]" caption="Year_Id" attribute="1" defaultMemberUniqueName="[Sales_Order].[Year_Id].[All]" allUniqueName="[Sales_Order].[Year_Id].[All]" dimensionUniqueName="[Sales_Order]" displayFolder="" count="2" memberValueDatatype="20" unbalanced="0">
      <fieldsUsage count="2">
        <fieldUsage x="-1"/>
        <fieldUsage x="3"/>
      </fieldsUsage>
    </cacheHierarchy>
    <cacheHierarchy uniqueName="[Sales_Order].[Product line]" caption="Product line" attribute="1" defaultMemberUniqueName="[Sales_Order].[Product line].[All]" allUniqueName="[Sales_Order].[Product line].[All]" dimensionUniqueName="[Sales_Order]" displayFolder="" count="2" memberValueDatatype="130" unbalanced="0"/>
    <cacheHierarchy uniqueName="[Sales_Order].[Product code]" caption="Product code" attribute="1" defaultMemberUniqueName="[Sales_Order].[Product code].[All]" allUniqueName="[Sales_Order].[Product code].[All]" dimensionUniqueName="[Sales_Order]" displayFolder="" count="0" memberValueDatatype="130" unbalanced="0"/>
    <cacheHierarchy uniqueName="[Sales_Order].[Customer name]" caption="Customer name" attribute="1" defaultMemberUniqueName="[Sales_Order].[Customer name].[All]" allUniqueName="[Sales_Order].[Customer name].[All]" dimensionUniqueName="[Sales_Order]" displayFolder="" count="2" memberValueDatatype="130" unbalanced="0">
      <fieldsUsage count="2">
        <fieldUsage x="-1"/>
        <fieldUsage x="0"/>
      </fieldsUsage>
    </cacheHierarchy>
    <cacheHierarchy uniqueName="[Sales_Order].[Address line]" caption="Address line" attribute="1" defaultMemberUniqueName="[Sales_Order].[Address line].[All]" allUniqueName="[Sales_Order].[Address line].[All]" dimensionUniqueName="[Sales_Order]" displayFolder="" count="0" memberValueDatatype="130" unbalanced="0"/>
    <cacheHierarchy uniqueName="[Sales_Order].[City]" caption="City" attribute="1" defaultMemberUniqueName="[Sales_Order].[City].[All]" allUniqueName="[Sales_Order].[City].[All]" dimensionUniqueName="[Sales_Order]" displayFolder="" count="0" memberValueDatatype="130" unbalanced="0"/>
    <cacheHierarchy uniqueName="[Sales_Order].[State]" caption="State" attribute="1" defaultMemberUniqueName="[Sales_Order].[State].[All]" allUniqueName="[Sales_Order].[State].[All]" dimensionUniqueName="[Sales_Order]" displayFolder="" count="0" memberValueDatatype="130" unbalanced="0"/>
    <cacheHierarchy uniqueName="[Sales_Order].[Postal code]" caption="Postal code" attribute="1" defaultMemberUniqueName="[Sales_Order].[Postal code].[All]" allUniqueName="[Sales_Order].[Postal code].[All]" dimensionUniqueName="[Sales_Order]" displayFolder="" count="0" memberValueDatatype="130" unbalanced="0"/>
    <cacheHierarchy uniqueName="[Sales_Order].[Country]" caption="Country" attribute="1" defaultMemberUniqueName="[Sales_Order].[Country].[All]" allUniqueName="[Sales_Order].[Country].[All]" dimensionUniqueName="[Sales_Order]" displayFolder="" count="2" memberValueDatatype="130" unbalanced="0"/>
    <cacheHierarchy uniqueName="[Sales_Order].[Territory]" caption="Territory" attribute="1" defaultMemberUniqueName="[Sales_Order].[Territory].[All]" allUniqueName="[Sales_Order].[Territory].[All]" dimensionUniqueName="[Sales_Order]" displayFolder="" count="2" memberValueDatatype="130" unbalanced="0">
      <fieldsUsage count="2">
        <fieldUsage x="-1"/>
        <fieldUsage x="2"/>
      </fieldsUsage>
    </cacheHierarchy>
    <cacheHierarchy uniqueName="[Sales_Order].[Contact Name]" caption="Contact Name" attribute="1" defaultMemberUniqueName="[Sales_Order].[Contact Name].[All]" allUniqueName="[Sales_Order].[Contact Name].[All]" dimensionUniqueName="[Sales_Order]" displayFolder="" count="0" memberValueDatatype="130" unbalanced="0"/>
    <cacheHierarchy uniqueName="[Sales_Order].[Dealsize]" caption="Dealsize" attribute="1" defaultMemberUniqueName="[Sales_Order].[Dealsize].[All]" allUniqueName="[Sales_Order].[Dealsize].[All]" dimensionUniqueName="[Sales_Order]" displayFolder="" count="2" memberValueDatatype="130" unbalanced="0"/>
    <cacheHierarchy uniqueName="[Sales_Order].[Month]" caption="Month" attribute="1" defaultMemberUniqueName="[Sales_Order].[Month].[All]" allUniqueName="[Sales_Order].[Month].[All]" dimensionUniqueName="[Sales_Order]" displayFolder="" count="0" memberValueDatatype="130" unbalanced="0"/>
    <cacheHierarchy uniqueName="[Sales_Order].[Sales Amount]" caption="Sales Amount" attribute="1" defaultMemberUniqueName="[Sales_Order].[Sales Amount].[All]" allUniqueName="[Sales_Order].[Sales Amount].[All]" dimensionUniqueName="[Sales_Order]" displayFolder="" count="0" memberValueDatatype="5" unbalanced="0"/>
    <cacheHierarchy uniqueName="[Sales_Order].[Orderdate (Year)]" caption="Orderdate (Year)" attribute="1" defaultMemberUniqueName="[Sales_Order].[Orderdate (Year)].[All]" allUniqueName="[Sales_Order].[Orderdate (Year)].[All]" dimensionUniqueName="[Sales_Order]" displayFolder="" count="2" memberValueDatatype="130" unbalanced="0"/>
    <cacheHierarchy uniqueName="[Sales_Order].[Orderdate (Quarter)]" caption="Orderdate (Quarter)" attribute="1" defaultMemberUniqueName="[Sales_Order].[Orderdate (Quarter)].[All]" allUniqueName="[Sales_Order].[Orderdate (Quarter)].[All]" dimensionUniqueName="[Sales_Order]" displayFolder="" count="0" memberValueDatatype="130" unbalanced="0"/>
    <cacheHierarchy uniqueName="[Sales_Order].[Orderdate (Month)]" caption="Orderdate (Month)" attribute="1" defaultMemberUniqueName="[Sales_Order].[Orderdate (Month)].[All]" allUniqueName="[Sales_Order].[Orderdate (Month)].[All]" dimensionUniqueName="[Sales_Order]" displayFolder="" count="2" memberValueDatatype="130" unbalanced="0"/>
    <cacheHierarchy uniqueName="[Sales_Order].[Orderdate (Month Index)]" caption="Orderdate (Month Index)" attribute="1" defaultMemberUniqueName="[Sales_Order].[Orderdate (Month Index)].[All]" allUniqueName="[Sales_Order].[Orderdate (Month Index)].[All]" dimensionUniqueName="[Sales_Order]" displayFolder="" count="0" memberValueDatatype="20" unbalanced="0" hidden="1"/>
    <cacheHierarchy uniqueName="[Measures].[__XL_Count Sales_Order]" caption="__XL_Count Sales_Order" measure="1" displayFolder="" measureGroup="Sales_Order" count="0" hidden="1"/>
    <cacheHierarchy uniqueName="[Measures].[__No measures defined]" caption="__No measures defined" measure="1" displayFolder="" count="0" hidden="1"/>
    <cacheHierarchy uniqueName="[Measures].[Sum of Sales Amount]" caption="Sum of Sales Amount" measure="1" displayFolder="" measureGroup="Sales_Order"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Order number]" caption="Sum of Order number" measure="1" displayFolder="" measureGroup="Sales_Order"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_Order" uniqueName="[Sales_Order]" caption="Sales_Order"/>
  </dimensions>
  <measureGroups count="1">
    <measureGroup name="Sales_Order" caption="Sales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iya P" refreshedDate="46283.952132523147" backgroundQuery="1" createdVersion="3" refreshedVersion="8" minRefreshableVersion="3" recordCount="0" supportSubquery="1" supportAdvancedDrill="1" xr:uid="{88D73A18-7437-47DF-9C58-E2AC9EEDC6C8}">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Sales_Order].[Order number]" caption="Order number" attribute="1" defaultMemberUniqueName="[Sales_Order].[Order number].[All]" allUniqueName="[Sales_Order].[Order number].[All]" dimensionUniqueName="[Sales_Order]" displayFolder="" count="0" memberValueDatatype="20" unbalanced="0"/>
    <cacheHierarchy uniqueName="[Sales_Order].[Quantity ordered]" caption="Quantity ordered" attribute="1" defaultMemberUniqueName="[Sales_Order].[Quantity ordered].[All]" allUniqueName="[Sales_Order].[Quantity ordered].[All]" dimensionUniqueName="[Sales_Order]" displayFolder="" count="0" memberValueDatatype="20" unbalanced="0"/>
    <cacheHierarchy uniqueName="[Sales_Order].[Price each]" caption="Price each" attribute="1" defaultMemberUniqueName="[Sales_Order].[Price each].[All]" allUniqueName="[Sales_Order].[Price each].[All]" dimensionUniqueName="[Sales_Order]" displayFolder="" count="0" memberValueDatatype="5" unbalanced="0"/>
    <cacheHierarchy uniqueName="[Sales_Order].[Orderline number]" caption="Orderline number" attribute="1" defaultMemberUniqueName="[Sales_Order].[Orderline number].[All]" allUniqueName="[Sales_Order].[Orderline number].[All]" dimensionUniqueName="[Sales_Order]" displayFolder="" count="0" memberValueDatatype="20" unbalanced="0"/>
    <cacheHierarchy uniqueName="[Sales_Order].[Orderdate]" caption="Orderdate" attribute="1" time="1" defaultMemberUniqueName="[Sales_Order].[Orderdate].[All]" allUniqueName="[Sales_Order].[Orderdate].[All]" dimensionUniqueName="[Sales_Order]" displayFolder="" count="2" memberValueDatatype="7" unbalanced="0"/>
    <cacheHierarchy uniqueName="[Sales_Order].[Status]" caption="Status" attribute="1" defaultMemberUniqueName="[Sales_Order].[Status].[All]" allUniqueName="[Sales_Order].[Status].[All]" dimensionUniqueName="[Sales_Order]" displayFolder="" count="2" memberValueDatatype="130" unbalanced="0"/>
    <cacheHierarchy uniqueName="[Sales_Order].[Qtr_Id]" caption="Qtr_Id" attribute="1" defaultMemberUniqueName="[Sales_Order].[Qtr_Id].[All]" allUniqueName="[Sales_Order].[Qtr_Id].[All]" dimensionUniqueName="[Sales_Order]" displayFolder="" count="2" memberValueDatatype="20" unbalanced="0"/>
    <cacheHierarchy uniqueName="[Sales_Order].[Year_Id]" caption="Year_Id" attribute="1" defaultMemberUniqueName="[Sales_Order].[Year_Id].[All]" allUniqueName="[Sales_Order].[Year_Id].[All]" dimensionUniqueName="[Sales_Order]" displayFolder="" count="2" memberValueDatatype="20" unbalanced="0"/>
    <cacheHierarchy uniqueName="[Sales_Order].[Product line]" caption="Product line" attribute="1" defaultMemberUniqueName="[Sales_Order].[Product line].[All]" allUniqueName="[Sales_Order].[Product line].[All]" dimensionUniqueName="[Sales_Order]" displayFolder="" count="2" memberValueDatatype="130" unbalanced="0"/>
    <cacheHierarchy uniqueName="[Sales_Order].[Product code]" caption="Product code" attribute="1" defaultMemberUniqueName="[Sales_Order].[Product code].[All]" allUniqueName="[Sales_Order].[Product code].[All]" dimensionUniqueName="[Sales_Order]" displayFolder="" count="0" memberValueDatatype="130" unbalanced="0"/>
    <cacheHierarchy uniqueName="[Sales_Order].[Customer name]" caption="Customer name" attribute="1" defaultMemberUniqueName="[Sales_Order].[Customer name].[All]" allUniqueName="[Sales_Order].[Customer name].[All]" dimensionUniqueName="[Sales_Order]" displayFolder="" count="0" memberValueDatatype="130" unbalanced="0"/>
    <cacheHierarchy uniqueName="[Sales_Order].[Address line]" caption="Address line" attribute="1" defaultMemberUniqueName="[Sales_Order].[Address line].[All]" allUniqueName="[Sales_Order].[Address line].[All]" dimensionUniqueName="[Sales_Order]" displayFolder="" count="0" memberValueDatatype="130" unbalanced="0"/>
    <cacheHierarchy uniqueName="[Sales_Order].[City]" caption="City" attribute="1" defaultMemberUniqueName="[Sales_Order].[City].[All]" allUniqueName="[Sales_Order].[City].[All]" dimensionUniqueName="[Sales_Order]" displayFolder="" count="0" memberValueDatatype="130" unbalanced="0"/>
    <cacheHierarchy uniqueName="[Sales_Order].[State]" caption="State" attribute="1" defaultMemberUniqueName="[Sales_Order].[State].[All]" allUniqueName="[Sales_Order].[State].[All]" dimensionUniqueName="[Sales_Order]" displayFolder="" count="0" memberValueDatatype="130" unbalanced="0"/>
    <cacheHierarchy uniqueName="[Sales_Order].[Postal code]" caption="Postal code" attribute="1" defaultMemberUniqueName="[Sales_Order].[Postal code].[All]" allUniqueName="[Sales_Order].[Postal code].[All]" dimensionUniqueName="[Sales_Order]" displayFolder="" count="0" memberValueDatatype="130" unbalanced="0"/>
    <cacheHierarchy uniqueName="[Sales_Order].[Country]" caption="Country" attribute="1" defaultMemberUniqueName="[Sales_Order].[Country].[All]" allUniqueName="[Sales_Order].[Country].[All]" dimensionUniqueName="[Sales_Order]" displayFolder="" count="2" memberValueDatatype="130" unbalanced="0"/>
    <cacheHierarchy uniqueName="[Sales_Order].[Territory]" caption="Territory" attribute="1" defaultMemberUniqueName="[Sales_Order].[Territory].[All]" allUniqueName="[Sales_Order].[Territory].[All]" dimensionUniqueName="[Sales_Order]" displayFolder="" count="0" memberValueDatatype="130" unbalanced="0"/>
    <cacheHierarchy uniqueName="[Sales_Order].[Contact Name]" caption="Contact Name" attribute="1" defaultMemberUniqueName="[Sales_Order].[Contact Name].[All]" allUniqueName="[Sales_Order].[Contact Name].[All]" dimensionUniqueName="[Sales_Order]" displayFolder="" count="0" memberValueDatatype="130" unbalanced="0"/>
    <cacheHierarchy uniqueName="[Sales_Order].[Dealsize]" caption="Dealsize" attribute="1" defaultMemberUniqueName="[Sales_Order].[Dealsize].[All]" allUniqueName="[Sales_Order].[Dealsize].[All]" dimensionUniqueName="[Sales_Order]" displayFolder="" count="0" memberValueDatatype="130" unbalanced="0"/>
    <cacheHierarchy uniqueName="[Sales_Order].[Month]" caption="Month" attribute="1" defaultMemberUniqueName="[Sales_Order].[Month].[All]" allUniqueName="[Sales_Order].[Month].[All]" dimensionUniqueName="[Sales_Order]" displayFolder="" count="0" memberValueDatatype="130" unbalanced="0"/>
    <cacheHierarchy uniqueName="[Sales_Order].[Sales Amount]" caption="Sales Amount" attribute="1" defaultMemberUniqueName="[Sales_Order].[Sales Amount].[All]" allUniqueName="[Sales_Order].[Sales Amount].[All]" dimensionUniqueName="[Sales_Order]" displayFolder="" count="2" memberValueDatatype="5" unbalanced="0"/>
    <cacheHierarchy uniqueName="[Sales_Order].[Orderdate (Year)]" caption="Orderdate (Year)" attribute="1" defaultMemberUniqueName="[Sales_Order].[Orderdate (Year)].[All]" allUniqueName="[Sales_Order].[Orderdate (Year)].[All]" dimensionUniqueName="[Sales_Order]" displayFolder="" count="0" memberValueDatatype="130" unbalanced="0"/>
    <cacheHierarchy uniqueName="[Sales_Order].[Orderdate (Quarter)]" caption="Orderdate (Quarter)" attribute="1" defaultMemberUniqueName="[Sales_Order].[Orderdate (Quarter)].[All]" allUniqueName="[Sales_Order].[Orderdate (Quarter)].[All]" dimensionUniqueName="[Sales_Order]" displayFolder="" count="0" memberValueDatatype="130" unbalanced="0"/>
    <cacheHierarchy uniqueName="[Sales_Order].[Orderdate (Month)]" caption="Orderdate (Month)" attribute="1" defaultMemberUniqueName="[Sales_Order].[Orderdate (Month)].[All]" allUniqueName="[Sales_Order].[Orderdate (Month)].[All]" dimensionUniqueName="[Sales_Order]" displayFolder="" count="0" memberValueDatatype="130" unbalanced="0"/>
    <cacheHierarchy uniqueName="[Sales_Order].[Orderdate (Month Index)]" caption="Orderdate (Month Index)" attribute="1" defaultMemberUniqueName="[Sales_Order].[Orderdate (Month Index)].[All]" allUniqueName="[Sales_Order].[Orderdate (Month Index)].[All]" dimensionUniqueName="[Sales_Order]" displayFolder="" count="0" memberValueDatatype="20" unbalanced="0" hidden="1"/>
    <cacheHierarchy uniqueName="[Measures].[__XL_Count Sales_Order]" caption="__XL_Count Sales_Order" measure="1" displayFolder="" measureGroup="Sales_Order" count="0" hidden="1"/>
    <cacheHierarchy uniqueName="[Measures].[__No measures defined]" caption="__No measures defined" measure="1" displayFolder="" count="0" hidden="1"/>
    <cacheHierarchy uniqueName="[Measures].[Sum of Sales Amount]" caption="Sum of Sales Amount" measure="1" displayFolder="" measureGroup="Sales_Order" count="0" hidden="1">
      <extLst>
        <ext xmlns:x15="http://schemas.microsoft.com/office/spreadsheetml/2010/11/main" uri="{B97F6D7D-B522-45F9-BDA1-12C45D357490}">
          <x15:cacheHierarchy aggregatedColumn="20"/>
        </ext>
      </extLst>
    </cacheHierarchy>
    <cacheHierarchy uniqueName="[Measures].[Sum of Order number]" caption="Sum of Order number" measure="1" displayFolder="" measureGroup="Sales_Orde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063035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602A12-8E73-4211-B00A-3A773C9F594A}" name="Sales by Territory" cacheId="542" applyNumberFormats="0" applyBorderFormats="0" applyFontFormats="0" applyPatternFormats="0" applyAlignmentFormats="0" applyWidthHeightFormats="1" dataCaption="Values" tag="39bebd66-8284-425e-8600-964c0837d24e" updatedVersion="8" minRefreshableVersion="3" subtotalHiddenItems="1" itemPrintTitles="1" createdVersion="8" indent="0" outline="1" outlineData="1" multipleFieldFilters="0" chartFormat="21">
  <location ref="A115:B120"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 Amount" fld="1" baseField="0" baseItem="0"/>
  </dataFields>
  <formats count="1">
    <format dxfId="192">
      <pivotArea grandRow="1"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Order Performance.xlsx!Sales_Order">
        <x15:activeTabTopLevelEntity name="[Sales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94D401-A35E-4E9B-8DBF-EDE9429228EE}" name="Monthly_Sales Trend" cacheId="521" applyNumberFormats="0" applyBorderFormats="0" applyFontFormats="0" applyPatternFormats="0" applyAlignmentFormats="0" applyWidthHeightFormats="1" dataCaption="Values" tag="d4cdc698-5839-4cde-b91e-3ab8e09e639f" updatedVersion="8" minRefreshableVersion="3" itemPrintTitles="1" createdVersion="8" indent="0" outline="1" outlineData="1" multipleFieldFilters="0" chartFormat="40">
  <location ref="A3:B49"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1"/>
    <field x="2"/>
  </rowFields>
  <rowItems count="46">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2"/>
    </i>
    <i>
      <x v="9"/>
    </i>
    <i r="1">
      <x/>
    </i>
    <i r="1">
      <x v="1"/>
    </i>
    <i>
      <x v="10"/>
    </i>
    <i r="1">
      <x/>
    </i>
    <i r="1">
      <x v="1"/>
    </i>
    <i>
      <x v="11"/>
    </i>
    <i r="1">
      <x/>
    </i>
    <i r="1">
      <x v="1"/>
    </i>
    <i r="1">
      <x v="2"/>
    </i>
    <i t="grand">
      <x/>
    </i>
  </rowItems>
  <colItems count="1">
    <i/>
  </colItems>
  <dataFields count="1">
    <dataField name="Sum of Sales Amount" fld="0" baseField="0" baseItem="0"/>
  </dataFields>
  <formats count="1">
    <format dxfId="193">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Order Performance.xlsx!Sales_Order">
        <x15:activeTabTopLevelEntity name="[Sales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B6B6EF-7917-4AAC-9A5B-C74B46862A23}" name="Quarterly Sales" cacheId="530" applyNumberFormats="0" applyBorderFormats="0" applyFontFormats="0" applyPatternFormats="0" applyAlignmentFormats="0" applyWidthHeightFormats="1" dataCaption="Values" tag="94e8161a-6d2e-4cfa-b8e3-8870641962d7" updatedVersion="8" minRefreshableVersion="3" subtotalHiddenItems="1" itemPrintTitles="1" createdVersion="8" indent="0" outline="1" outlineData="1" multipleFieldFilters="0" chartFormat="20">
  <location ref="A125:B130"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Amount" fld="2" baseField="0" baseItem="0"/>
  </dataFields>
  <formats count="1">
    <format dxfId="194">
      <pivotArea grandRow="1" outline="0" collapsedLevelsAreSubtotals="1" fieldPosition="0"/>
    </format>
  </formats>
  <chartFormats count="10">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3"/>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 count="1" selected="0">
            <x v="0"/>
          </reference>
        </references>
      </pivotArea>
    </chartFormat>
    <chartFormat chart="16" format="12">
      <pivotArea type="data" outline="0" fieldPosition="0">
        <references count="2">
          <reference field="4294967294" count="1" selected="0">
            <x v="0"/>
          </reference>
          <reference field="1" count="1" selected="0">
            <x v="1"/>
          </reference>
        </references>
      </pivotArea>
    </chartFormat>
    <chartFormat chart="16" format="13">
      <pivotArea type="data" outline="0" fieldPosition="0">
        <references count="2">
          <reference field="4294967294" count="1" selected="0">
            <x v="0"/>
          </reference>
          <reference field="1" count="1" selected="0">
            <x v="2"/>
          </reference>
        </references>
      </pivotArea>
    </chartFormat>
    <chartFormat chart="16" format="14">
      <pivotArea type="data" outline="0" fieldPosition="0">
        <references count="2">
          <reference field="4294967294" count="1" selected="0">
            <x v="0"/>
          </reference>
          <reference field="1" count="1" selected="0">
            <x v="3"/>
          </reference>
        </references>
      </pivotArea>
    </chartFormat>
  </chartFormats>
  <pivotHierarchies count="29">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Order Performance.xlsx!Sales_Order">
        <x15:activeTabTopLevelEntity name="[Sales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64DBC7-7FD7-4A23-8AE5-8B15B4783DD7}" name="Sales By Product Line" cacheId="539" applyNumberFormats="0" applyBorderFormats="0" applyFontFormats="0" applyPatternFormats="0" applyAlignmentFormats="0" applyWidthHeightFormats="1" dataCaption="Values" tag="88e663b6-2e74-4e79-a5d0-2ee37bd35e8b" updatedVersion="8" minRefreshableVersion="3" subtotalHiddenItems="1" itemPrintTitles="1" createdVersion="8" indent="0" outline="1" outlineData="1" multipleFieldFilters="0" chartFormat="7">
  <location ref="A52:B60"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i>
    <i>
      <x v="6"/>
    </i>
    <i>
      <x v="1"/>
    </i>
    <i>
      <x v="2"/>
    </i>
    <i>
      <x v="5"/>
    </i>
    <i>
      <x v="3"/>
    </i>
    <i>
      <x v="4"/>
    </i>
    <i t="grand">
      <x/>
    </i>
  </rowItems>
  <colItems count="1">
    <i/>
  </colItems>
  <dataFields count="1">
    <dataField name="Sum of Sales Amount" fld="0" baseField="0" baseItem="0"/>
  </dataFields>
  <formats count="1">
    <format dxfId="195">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Order Performance.xlsx!Sales_Order">
        <x15:activeTabTopLevelEntity name="[Sales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732057-DB55-4EF0-91D0-5E071664162C}" name="Customers by Sales" cacheId="524" applyNumberFormats="0" applyBorderFormats="0" applyFontFormats="0" applyPatternFormats="0" applyAlignmentFormats="0" applyWidthHeightFormats="1" dataCaption="Values" tag="d25cd956-c882-4954-b36b-91bb9aea5892" updatedVersion="8" minRefreshableVersion="3" subtotalHiddenItems="1" itemPrintTitles="1" createdVersion="8" indent="0" outline="1" outlineData="1" multipleFieldFilters="0" chartFormat="14">
  <location ref="A64:B75" firstHeaderRow="1" firstDataRow="1" firstDataCol="1"/>
  <pivotFields count="4">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3"/>
    </i>
    <i>
      <x v="1"/>
    </i>
    <i>
      <x v="4"/>
    </i>
    <i>
      <x v="2"/>
    </i>
    <i>
      <x v="8"/>
    </i>
    <i>
      <x v="6"/>
    </i>
    <i>
      <x/>
    </i>
    <i>
      <x v="7"/>
    </i>
    <i>
      <x v="5"/>
    </i>
    <i>
      <x v="9"/>
    </i>
    <i t="grand">
      <x/>
    </i>
  </rowItems>
  <colItems count="1">
    <i/>
  </colItems>
  <dataFields count="1">
    <dataField name="Sum of Sales Amount" fld="0" baseField="0" baseItem="0"/>
  </dataFields>
  <formats count="1">
    <format dxfId="196">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 count="1" selected="0">
            <x v="3"/>
          </reference>
        </references>
      </pivotArea>
    </chartFormat>
  </chartFormats>
  <pivotHierarchies count="29">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Order Performance.xlsx!Sales_Order">
        <x15:activeTabTopLevelEntity name="[Sales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223A78-B06B-4AA4-929A-F4FF0E09DD4B}" name="PivotTable8" cacheId="527" applyNumberFormats="0" applyBorderFormats="0" applyFontFormats="0" applyPatternFormats="0" applyAlignmentFormats="0" applyWidthHeightFormats="1" dataCaption="Values" tag="3ec8e467-e25e-4cd9-a2ee-d35cbfeb3817" updatedVersion="8" minRefreshableVersion="3" subtotalHiddenItems="1" itemPrintTitles="1" createdVersion="8" indent="0" outline="1" outlineData="1" multipleFieldFilters="0" chartFormat="18">
  <location ref="A89:B9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Order number" fld="2" baseField="0" baseItem="0"/>
  </dataFields>
  <formats count="1">
    <format dxfId="197">
      <pivotArea grandRow="1" outline="0" collapsedLevelsAreSubtotals="1" fieldPosition="0"/>
    </format>
  </formats>
  <chartFormats count="3">
    <chartFormat chart="17"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5"/>
          </reference>
        </references>
      </pivotArea>
    </chartFormat>
  </chartFormats>
  <pivotHierarchies count="29">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Order Performance.xlsx!Sales_Order">
        <x15:activeTabTopLevelEntity name="[Sales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6167A5-991B-452A-A5E4-332C68DF2D28}" name="Sales by Deal Size" cacheId="536" applyNumberFormats="0" applyBorderFormats="0" applyFontFormats="0" applyPatternFormats="0" applyAlignmentFormats="0" applyWidthHeightFormats="1" dataCaption="Values" tag="e9c2513f-3012-4d47-827a-d3e6dbcd556d" updatedVersion="8" minRefreshableVersion="3" subtotalHiddenItems="1" itemPrintTitles="1" createdVersion="8" indent="0" outline="1" outlineData="1" multipleFieldFilters="0" chartFormat="22">
  <location ref="A102:B10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Amount" fld="2" baseField="0" baseItem="0"/>
  </dataFields>
  <formats count="1">
    <format dxfId="198">
      <pivotArea grandRow="1" outline="0" collapsedLevelsAreSubtotals="1" fieldPosition="0"/>
    </format>
  </formats>
  <chartFormats count="8">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 count="1" selected="0">
            <x v="0"/>
          </reference>
        </references>
      </pivotArea>
    </chartFormat>
    <chartFormat chart="12" format="2">
      <pivotArea type="data" outline="0" fieldPosition="0">
        <references count="2">
          <reference field="4294967294" count="1" selected="0">
            <x v="0"/>
          </reference>
          <reference field="1" count="1" selected="0">
            <x v="1"/>
          </reference>
        </references>
      </pivotArea>
    </chartFormat>
    <chartFormat chart="12" format="3">
      <pivotArea type="data" outline="0" fieldPosition="0">
        <references count="2">
          <reference field="4294967294" count="1" selected="0">
            <x v="0"/>
          </reference>
          <reference field="1"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 count="1" selected="0">
            <x v="0"/>
          </reference>
        </references>
      </pivotArea>
    </chartFormat>
    <chartFormat chart="15" format="10">
      <pivotArea type="data" outline="0" fieldPosition="0">
        <references count="2">
          <reference field="4294967294" count="1" selected="0">
            <x v="0"/>
          </reference>
          <reference field="1" count="1" selected="0">
            <x v="1"/>
          </reference>
        </references>
      </pivotArea>
    </chartFormat>
    <chartFormat chart="15" format="11">
      <pivotArea type="data" outline="0" fieldPosition="0">
        <references count="2">
          <reference field="4294967294" count="1" selected="0">
            <x v="0"/>
          </reference>
          <reference field="1" count="1" selected="0">
            <x v="2"/>
          </reference>
        </references>
      </pivotArea>
    </chartFormat>
  </chartFormats>
  <pivotHierarchies count="29">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Order Performance.xlsx!Sales_Order">
        <x15:activeTabTopLevelEntity name="[Sales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E6E82D-A5A5-4EC0-989F-1B4EA7D140EF}" name="Sales by Country" cacheId="533" applyNumberFormats="0" applyBorderFormats="0" applyFontFormats="0" applyPatternFormats="0" applyAlignmentFormats="0" applyWidthHeightFormats="1" dataCaption="Values" tag="9fd30138-deb0-480c-8b7f-49a64cd988fd" updatedVersion="8" minRefreshableVersion="3" subtotalHiddenItems="1" itemPrintTitles="1" createdVersion="8" indent="0" outline="1" outlineData="1" multipleFieldFilters="0" chartFormat="17">
  <location ref="A78:B84" firstHeaderRow="1" firstDataRow="1" firstDataCol="1"/>
  <pivotFields count="5">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v="4"/>
    </i>
    <i>
      <x/>
    </i>
    <i>
      <x v="1"/>
    </i>
    <i>
      <x v="2"/>
    </i>
    <i>
      <x v="3"/>
    </i>
    <i t="grand">
      <x/>
    </i>
  </rowItems>
  <colItems count="1">
    <i/>
  </colItems>
  <dataFields count="1">
    <dataField name="Sum of Sales Amount" fld="0" baseField="0" baseItem="0"/>
  </dataFields>
  <formats count="1">
    <format dxfId="199">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Order Performance.xlsx!Sales_Order">
        <x15:activeTabTopLevelEntity name="[Sales_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1D82FAE1-FBBB-4A06-8DCB-31CCFEF3766B}" autoFormatId="16" applyNumberFormats="0" applyBorderFormats="0" applyFontFormats="0" applyPatternFormats="0" applyAlignmentFormats="0" applyWidthHeightFormats="0">
  <queryTableRefresh nextId="22" unboundColumnsRight="1">
    <queryTableFields count="21">
      <queryTableField id="1" name="Order number" tableColumnId="1"/>
      <queryTableField id="2" name="Quantity ordered" tableColumnId="2"/>
      <queryTableField id="3" name="Price each" tableColumnId="3"/>
      <queryTableField id="4" name="Orderline number" tableColumnId="4"/>
      <queryTableField id="5" name="Orderdate" tableColumnId="5"/>
      <queryTableField id="6" name="Status" tableColumnId="6"/>
      <queryTableField id="7" name="Qtr_Id" tableColumnId="7"/>
      <queryTableField id="8" name="Year_Id" tableColumnId="8"/>
      <queryTableField id="9" name="Product line" tableColumnId="9"/>
      <queryTableField id="10" name="Product code" tableColumnId="10"/>
      <queryTableField id="11" name="Customer name" tableColumnId="11"/>
      <queryTableField id="12" name="Address line" tableColumnId="12"/>
      <queryTableField id="13" name="City" tableColumnId="13"/>
      <queryTableField id="14" name="State" tableColumnId="14"/>
      <queryTableField id="15" name="Postal code" tableColumnId="15"/>
      <queryTableField id="16" name="Country" tableColumnId="16"/>
      <queryTableField id="17" name="Territory" tableColumnId="17"/>
      <queryTableField id="18" name="Contact Name" tableColumnId="18"/>
      <queryTableField id="19" name="Dealsize" tableColumnId="19"/>
      <queryTableField id="20" name="Month"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_Id" xr10:uid="{078BB246-79BD-486B-8295-4CB2B4C37F6F}" sourceName="[Sales_Order].[Qtr_Id]">
  <pivotTables>
    <pivotTable tabId="9" name="Sales By Product Line"/>
    <pivotTable tabId="9" name="Customers by Sales"/>
    <pivotTable tabId="9" name="Monthly_Sales Trend"/>
    <pivotTable tabId="9" name="PivotTable8"/>
    <pivotTable tabId="9" name="Quarterly Sales"/>
    <pivotTable tabId="9" name="Sales by Country"/>
    <pivotTable tabId="9" name="Sales by Deal Size"/>
    <pivotTable tabId="9" name="Sales by Territory"/>
  </pivotTables>
  <data>
    <olap pivotCacheId="1606303542">
      <levels count="2">
        <level uniqueName="[Sales_Order].[Qtr_Id].[(All)]" sourceCaption="(All)" count="0"/>
        <level uniqueName="[Sales_Order].[Qtr_Id].[Qtr_Id]" sourceCaption="Qtr_Id" count="4">
          <ranges>
            <range startItem="0">
              <i n="[Sales_Order].[Qtr_Id].&amp;[1]" c="1"/>
              <i n="[Sales_Order].[Qtr_Id].&amp;[2]" c="2"/>
              <i n="[Sales_Order].[Qtr_Id].&amp;[3]" c="3"/>
              <i n="[Sales_Order].[Qtr_Id].&amp;[4]" c="4"/>
            </range>
          </ranges>
        </level>
      </levels>
      <selections count="1">
        <selection n="[Sales_Order].[Qtr_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610DF1C7-6C10-49E2-A133-C0ECED9CF9FE}" sourceName="[Sales_Order].[Year_Id]">
  <pivotTables>
    <pivotTable tabId="9" name="Monthly_Sales Trend"/>
    <pivotTable tabId="9" name="Customers by Sales"/>
    <pivotTable tabId="9" name="PivotTable8"/>
    <pivotTable tabId="9" name="Quarterly Sales"/>
    <pivotTable tabId="9" name="Sales by Country"/>
    <pivotTable tabId="9" name="Sales by Deal Size"/>
    <pivotTable tabId="9" name="Sales By Product Line"/>
    <pivotTable tabId="9" name="Sales by Territory"/>
  </pivotTables>
  <data>
    <olap pivotCacheId="1606303542">
      <levels count="2">
        <level uniqueName="[Sales_Order].[Year_Id].[(All)]" sourceCaption="(All)" count="0"/>
        <level uniqueName="[Sales_Order].[Year_Id].[Year_Id]" sourceCaption="Year_Id" count="3">
          <ranges>
            <range startItem="0">
              <i n="[Sales_Order].[Year_Id].&amp;[2003]" c="2003"/>
              <i n="[Sales_Order].[Year_Id].&amp;[2004]" c="2004"/>
              <i n="[Sales_Order].[Year_Id].&amp;[2005]" c="2005"/>
            </range>
          </ranges>
        </level>
      </levels>
      <selections count="1">
        <selection n="[Sales_Order].[Year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2D841080-6F9F-4E62-9673-BEDE6C16A14A}" sourceName="[Sales_Order].[Product line]">
  <pivotTables>
    <pivotTable tabId="9" name="Customers by Sales"/>
    <pivotTable tabId="9" name="Monthly_Sales Trend"/>
    <pivotTable tabId="9" name="PivotTable8"/>
    <pivotTable tabId="9" name="Quarterly Sales"/>
    <pivotTable tabId="9" name="Sales by Country"/>
    <pivotTable tabId="9" name="Sales by Deal Size"/>
    <pivotTable tabId="9" name="Sales By Product Line"/>
    <pivotTable tabId="9" name="Sales by Territory"/>
  </pivotTables>
  <data>
    <olap pivotCacheId="1606303542">
      <levels count="2">
        <level uniqueName="[Sales_Order].[Product line].[(All)]" sourceCaption="(All)" count="0"/>
        <level uniqueName="[Sales_Order].[Product line].[Product line]" sourceCaption="Product line" count="7">
          <ranges>
            <range startItem="0">
              <i n="[Sales_Order].[Product line].&amp;[Classic Cars]" c="Classic Cars"/>
              <i n="[Sales_Order].[Product line].&amp;[Motorcycles]" c="Motorcycles"/>
              <i n="[Sales_Order].[Product line].&amp;[Planes]" c="Planes"/>
              <i n="[Sales_Order].[Product line].&amp;[Ships]" c="Ships"/>
              <i n="[Sales_Order].[Product line].&amp;[Trains]" c="Trains"/>
              <i n="[Sales_Order].[Product line].&amp;[Trucks and Buses]" c="Trucks and Buses"/>
              <i n="[Sales_Order].[Product line].&amp;[Vintage Cars]" c="Vintage Cars"/>
            </range>
          </ranges>
        </level>
      </levels>
      <selections count="1">
        <selection n="[Sales_Order].[Product lin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EDE0D43-D713-449C-968D-2BA1AE754C23}" sourceName="[Sales_Order].[Country]">
  <pivotTables>
    <pivotTable tabId="9" name="Customers by Sales"/>
    <pivotTable tabId="9" name="Monthly_Sales Trend"/>
    <pivotTable tabId="9" name="PivotTable8"/>
    <pivotTable tabId="9" name="Quarterly Sales"/>
    <pivotTable tabId="9" name="Sales by Country"/>
    <pivotTable tabId="9" name="Sales by Deal Size"/>
    <pivotTable tabId="9" name="Sales By Product Line"/>
    <pivotTable tabId="9" name="Sales by Territory"/>
  </pivotTables>
  <data>
    <olap pivotCacheId="1606303542">
      <levels count="2">
        <level uniqueName="[Sales_Order].[Country].[(All)]" sourceCaption="(All)" count="0"/>
        <level uniqueName="[Sales_Order].[Country].[Country]" sourceCaption="Country" count="5">
          <ranges>
            <range startItem="0">
              <i n="[Sales_Order].[Country].&amp;[Australia]" c="Australia"/>
              <i n="[Sales_Order].[Country].&amp;[Canada]" c="Canada"/>
              <i n="[Sales_Order].[Country].&amp;[Japan]" c="Japan"/>
              <i n="[Sales_Order].[Country].&amp;[UK]" c="UK"/>
              <i n="[Sales_Order].[Country].&amp;[USA]" c="USA"/>
            </range>
          </ranges>
        </level>
      </levels>
      <selections count="1">
        <selection n="[Sales_Order].[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DDE98E6-6B37-4BA5-A58C-C0A4F91416EC}" sourceName="[Sales_Order].[Status]">
  <pivotTables>
    <pivotTable tabId="9" name="Sales by Country"/>
    <pivotTable tabId="9" name="Customers by Sales"/>
    <pivotTable tabId="9" name="Monthly_Sales Trend"/>
    <pivotTable tabId="9" name="PivotTable8"/>
    <pivotTable tabId="9" name="Quarterly Sales"/>
    <pivotTable tabId="9" name="Sales by Deal Size"/>
    <pivotTable tabId="9" name="Sales By Product Line"/>
    <pivotTable tabId="9" name="Sales by Territory"/>
  </pivotTables>
  <data>
    <olap pivotCacheId="1606303542">
      <levels count="2">
        <level uniqueName="[Sales_Order].[Status].[(All)]" sourceCaption="(All)" count="0"/>
        <level uniqueName="[Sales_Order].[Status].[Status]" sourceCaption="Status" count="6">
          <ranges>
            <range startItem="0">
              <i n="[Sales_Order].[Status].&amp;[Cancelled]" c="Cancelled"/>
              <i n="[Sales_Order].[Status].&amp;[Disputed]" c="Disputed"/>
              <i n="[Sales_Order].[Status].&amp;[In Process]" c="In Process"/>
              <i n="[Sales_Order].[Status].&amp;[On Hold]" c="On Hold"/>
              <i n="[Sales_Order].[Status].&amp;[Resolved]" c="Resolved"/>
              <i n="[Sales_Order].[Status].&amp;[Shipped]" c="Shipped"/>
            </range>
          </ranges>
        </level>
      </levels>
      <selections count="1">
        <selection n="[Sales_Order].[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01EBA24B-A444-4C1E-AA68-91242D2043C1}" sourceName="[Sales_Order].[Orderdate]">
  <pivotTables>
    <pivotTable tabId="9" name="Sales by Country"/>
    <pivotTable tabId="9" name="Customers by Sales"/>
    <pivotTable tabId="9" name="Monthly_Sales Trend"/>
    <pivotTable tabId="9" name="PivotTable8"/>
    <pivotTable tabId="9" name="Quarterly Sales"/>
    <pivotTable tabId="9" name="Sales by Deal Size"/>
    <pivotTable tabId="9" name="Sales By Product Line"/>
    <pivotTable tabId="9" name="Sales by Territory"/>
  </pivotTables>
  <data>
    <olap pivotCacheId="1606303542">
      <levels count="2">
        <level uniqueName="[Sales_Order].[Orderdate].[(All)]" sourceCaption="(All)" count="0"/>
        <level uniqueName="[Sales_Order].[Orderdate].[Orderdate]" sourceCaption="Orderdate" count="125">
          <ranges>
            <range startItem="0">
              <i n="[Sales_Order].[Orderdate].&amp;[2003-01-12T00:00:00]" c="12-01-2003"/>
              <i n="[Sales_Order].[Orderdate].&amp;[2003-02-07T00:00:00]" c="07-02-2003"/>
              <i n="[Sales_Order].[Orderdate].&amp;[2003-02-10T00:00:00]" c="10-02-2003"/>
              <i n="[Sales_Order].[Orderdate].&amp;[2003-02-12T00:00:00]" c="12-02-2003"/>
              <i n="[Sales_Order].[Orderdate].&amp;[2003-02-24T00:00:00]" c="24-02-2003"/>
              <i n="[Sales_Order].[Orderdate].&amp;[2003-03-06T00:00:00]" c="06-03-2003"/>
              <i n="[Sales_Order].[Orderdate].&amp;[2003-03-09T00:00:00]" c="09-03-2003"/>
              <i n="[Sales_Order].[Orderdate].&amp;[2003-03-26T00:00:00]" c="26-03-2003"/>
              <i n="[Sales_Order].[Orderdate].&amp;[2003-04-04T00:00:00]" c="04-04-2003"/>
              <i n="[Sales_Order].[Orderdate].&amp;[2003-04-11T00:00:00]" c="11-04-2003"/>
              <i n="[Sales_Order].[Orderdate].&amp;[2003-04-29T00:00:00]" c="29-04-2003"/>
              <i n="[Sales_Order].[Orderdate].&amp;[2003-05-09T00:00:00]" c="09-05-2003"/>
              <i n="[Sales_Order].[Orderdate].&amp;[2003-05-11T00:00:00]" c="11-05-2003"/>
              <i n="[Sales_Order].[Orderdate].&amp;[2003-05-12T00:00:00]" c="12-05-2003"/>
              <i n="[Sales_Order].[Orderdate].&amp;[2003-05-21T00:00:00]" c="21-05-2003"/>
              <i n="[Sales_Order].[Orderdate].&amp;[2003-06-01T00:00:00]" c="01-06-2003"/>
              <i n="[Sales_Order].[Orderdate].&amp;[2003-06-11T00:00:00]" c="11-06-2003"/>
              <i n="[Sales_Order].[Orderdate].&amp;[2003-06-16T00:00:00]" c="16-06-2003"/>
              <i n="[Sales_Order].[Orderdate].&amp;[2003-07-16T00:00:00]" c="16-07-2003"/>
              <i n="[Sales_Order].[Orderdate].&amp;[2003-07-24T00:00:00]" c="24-07-2003"/>
              <i n="[Sales_Order].[Orderdate].&amp;[2003-08-08T00:00:00]" c="08-08-2003"/>
              <i n="[Sales_Order].[Orderdate].&amp;[2003-08-25T00:00:00]" c="25-08-2003"/>
              <i n="[Sales_Order].[Orderdate].&amp;[2003-09-12T00:00:00]" c="12-09-2003"/>
              <i n="[Sales_Order].[Orderdate].&amp;[2003-09-25T00:00:00]" c="25-09-2003"/>
              <i n="[Sales_Order].[Orderdate].&amp;[2003-10-01T00:00:00]" c="01-10-2003"/>
              <i n="[Sales_Order].[Orderdate].&amp;[2003-10-03T00:00:00]" c="03-10-2003"/>
              <i n="[Sales_Order].[Orderdate].&amp;[2003-10-08T00:00:00]" c="08-10-2003"/>
              <i n="[Sales_Order].[Orderdate].&amp;[2003-10-20T00:00:00]" c="20-10-2003"/>
              <i n="[Sales_Order].[Orderdate].&amp;[2003-10-21T00:00:00]" c="21-10-2003"/>
              <i n="[Sales_Order].[Orderdate].&amp;[2003-10-28T00:00:00]" c="28-10-2003"/>
              <i n="[Sales_Order].[Orderdate].&amp;[2003-11-09T00:00:00]" c="09-11-2003"/>
              <i n="[Sales_Order].[Orderdate].&amp;[2003-11-13T00:00:00]" c="13-11-2003"/>
              <i n="[Sales_Order].[Orderdate].&amp;[2003-11-14T00:00:00]" c="14-11-2003"/>
              <i n="[Sales_Order].[Orderdate].&amp;[2003-11-18T00:00:00]" c="18-11-2003"/>
              <i n="[Sales_Order].[Orderdate].&amp;[2003-11-20T00:00:00]" c="20-11-2003"/>
              <i n="[Sales_Order].[Orderdate].&amp;[2003-11-21T00:00:00]" c="21-11-2003"/>
              <i n="[Sales_Order].[Orderdate].&amp;[2003-11-25T00:00:00]" c="25-11-2003"/>
              <i n="[Sales_Order].[Orderdate].&amp;[2003-11-26T00:00:00]" c="26-11-2003"/>
              <i n="[Sales_Order].[Orderdate].&amp;[2003-12-09T00:00:00]" c="09-12-2003"/>
              <i n="[Sales_Order].[Orderdate].&amp;[2003-12-11T00:00:00]" c="11-12-2003"/>
              <i n="[Sales_Order].[Orderdate].&amp;[2004-01-11T00:00:00]" c="11-01-2004"/>
              <i n="[Sales_Order].[Orderdate].&amp;[2004-01-12T00:00:00]" c="12-01-2004"/>
              <i n="[Sales_Order].[Orderdate].&amp;[2004-01-29T00:00:00]" c="29-01-2004"/>
              <i n="[Sales_Order].[Orderdate].&amp;[2004-02-04T00:00:00]" c="04-02-2004"/>
              <i n="[Sales_Order].[Orderdate].&amp;[2004-02-07T00:00:00]" c="07-02-2004"/>
              <i n="[Sales_Order].[Orderdate].&amp;[2004-02-08T00:00:00]" c="08-02-2004"/>
              <i n="[Sales_Order].[Orderdate].&amp;[2004-02-11T00:00:00]" c="11-02-2004"/>
              <i n="[Sales_Order].[Orderdate].&amp;[2004-02-19T00:00:00]" c="19-02-2004"/>
              <i n="[Sales_Order].[Orderdate].&amp;[2004-02-20T00:00:00]" c="20-02-2004"/>
              <i n="[Sales_Order].[Orderdate].&amp;[2004-02-26T00:00:00]" c="26-02-2004"/>
              <i n="[Sales_Order].[Orderdate].&amp;[2004-03-04T00:00:00]" c="04-03-2004"/>
              <i n="[Sales_Order].[Orderdate].&amp;[2004-03-11T00:00:00]" c="11-03-2004"/>
              <i n="[Sales_Order].[Orderdate].&amp;[2004-03-12T00:00:00]" c="12-03-2004"/>
              <i n="[Sales_Order].[Orderdate].&amp;[2004-03-20T00:00:00]" c="20-03-2004"/>
              <i n="[Sales_Order].[Orderdate].&amp;[2004-03-29T00:00:00]" c="29-03-2004"/>
              <i n="[Sales_Order].[Orderdate].&amp;[2004-04-05T00:00:00]" c="05-04-2004"/>
              <i n="[Sales_Order].[Orderdate].&amp;[2004-04-11T00:00:00]" c="11-04-2004"/>
              <i n="[Sales_Order].[Orderdate].&amp;[2004-04-12T00:00:00]" c="12-04-2004"/>
              <i n="[Sales_Order].[Orderdate].&amp;[2004-04-13T00:00:00]" c="13-04-2004"/>
              <i n="[Sales_Order].[Orderdate].&amp;[2004-04-20T00:00:00]" c="20-04-2004"/>
              <i n="[Sales_Order].[Orderdate].&amp;[2004-04-26T00:00:00]" c="26-04-2004"/>
              <i n="[Sales_Order].[Orderdate].&amp;[2004-05-04T00:00:00]" c="04-05-2004"/>
              <i n="[Sales_Order].[Orderdate].&amp;[2004-05-11T00:00:00]" c="11-05-2004"/>
              <i n="[Sales_Order].[Orderdate].&amp;[2004-05-18T00:00:00]" c="18-05-2004"/>
              <i n="[Sales_Order].[Orderdate].&amp;[2004-06-08T00:00:00]" c="08-06-2004"/>
              <i n="[Sales_Order].[Orderdate].&amp;[2004-06-14T00:00:00]" c="14-06-2004"/>
              <i n="[Sales_Order].[Orderdate].&amp;[2004-06-15T00:00:00]" c="15-06-2004"/>
              <i n="[Sales_Order].[Orderdate].&amp;[2004-06-17T00:00:00]" c="17-06-2004"/>
              <i n="[Sales_Order].[Orderdate].&amp;[2004-06-28T00:00:00]" c="28-06-2004"/>
              <i n="[Sales_Order].[Orderdate].&amp;[2004-06-30T00:00:00]" c="30-06-2004"/>
              <i n="[Sales_Order].[Orderdate].&amp;[2004-07-05T00:00:00]" c="05-07-2004"/>
              <i n="[Sales_Order].[Orderdate].&amp;[2004-07-07T00:00:00]" c="07-07-2004"/>
              <i n="[Sales_Order].[Orderdate].&amp;[2004-07-09T00:00:00]" c="09-07-2004"/>
              <i n="[Sales_Order].[Orderdate].&amp;[2004-07-19T00:00:00]" c="19-07-2004"/>
              <i n="[Sales_Order].[Orderdate].&amp;[2004-07-20T00:00:00]" c="20-07-2004"/>
              <i n="[Sales_Order].[Orderdate].&amp;[2004-07-21T00:00:00]" c="21-07-2004"/>
              <i n="[Sales_Order].[Orderdate].&amp;[2004-08-05T00:00:00]" c="05-08-2004"/>
              <i n="[Sales_Order].[Orderdate].&amp;[2004-08-09T00:00:00]" c="09-08-2004"/>
              <i n="[Sales_Order].[Orderdate].&amp;[2004-08-19T00:00:00]" c="19-08-2004"/>
              <i n="[Sales_Order].[Orderdate].&amp;[2004-08-20T00:00:00]" c="20-08-2004"/>
              <i n="[Sales_Order].[Orderdate].&amp;[2004-08-27T00:00:00]" c="27-08-2004"/>
              <i n="[Sales_Order].[Orderdate].&amp;[2004-10-02T00:00:00]" c="02-10-2004"/>
              <i n="[Sales_Order].[Orderdate].&amp;[2004-10-03T00:00:00]" c="03-10-2004"/>
              <i n="[Sales_Order].[Orderdate].&amp;[2004-10-09T00:00:00]" c="09-10-2004"/>
              <i n="[Sales_Order].[Orderdate].&amp;[2004-10-12T00:00:00]" c="12-10-2004"/>
              <i n="[Sales_Order].[Orderdate].&amp;[2004-10-13T00:00:00]" c="13-10-2004"/>
              <i n="[Sales_Order].[Orderdate].&amp;[2004-10-14T00:00:00]" c="14-10-2004"/>
              <i n="[Sales_Order].[Orderdate].&amp;[2004-10-15T00:00:00]" c="15-10-2004"/>
              <i n="[Sales_Order].[Orderdate].&amp;[2004-10-21T00:00:00]" c="21-10-2004"/>
              <i n="[Sales_Order].[Orderdate].&amp;[2004-10-22T00:00:00]" c="22-10-2004"/>
              <i n="[Sales_Order].[Orderdate].&amp;[2004-11-03T00:00:00]" c="03-11-2004"/>
              <i n="[Sales_Order].[Orderdate].&amp;[2004-11-05T00:00:00]" c="05-11-2004"/>
              <i n="[Sales_Order].[Orderdate].&amp;[2004-11-15T00:00:00]" c="15-11-2004"/>
              <i n="[Sales_Order].[Orderdate].&amp;[2004-11-17T00:00:00]" c="17-11-2004"/>
              <i n="[Sales_Order].[Orderdate].&amp;[2004-11-19T00:00:00]" c="19-11-2004"/>
              <i n="[Sales_Order].[Orderdate].&amp;[2004-11-21T00:00:00]" c="21-11-2004"/>
              <i n="[Sales_Order].[Orderdate].&amp;[2004-11-23T00:00:00]" c="23-11-2004"/>
              <i n="[Sales_Order].[Orderdate].&amp;[2004-11-24T00:00:00]" c="24-11-2004"/>
              <i n="[Sales_Order].[Orderdate].&amp;[2004-11-29T00:00:00]" c="29-11-2004"/>
              <i n="[Sales_Order].[Orderdate].&amp;[2004-12-01T00:00:00]" c="01-12-2004"/>
              <i n="[Sales_Order].[Orderdate].&amp;[2004-12-17T00:00:00]" c="17-12-2004"/>
              <i n="[Sales_Order].[Orderdate].&amp;[2005-01-04T00:00:00]" c="04-01-2005"/>
              <i n="[Sales_Order].[Orderdate].&amp;[2005-01-05T00:00:00]" c="05-01-2005"/>
              <i n="[Sales_Order].[Orderdate].&amp;[2005-01-19T00:00:00]" c="19-01-2005"/>
              <i n="[Sales_Order].[Orderdate].&amp;[2005-01-20T00:00:00]" c="20-01-2005"/>
              <i n="[Sales_Order].[Orderdate].&amp;[2005-01-23T00:00:00]" c="23-01-2005"/>
              <i n="[Sales_Order].[Orderdate].&amp;[2005-01-26T00:00:00]" c="26-01-2005"/>
              <i n="[Sales_Order].[Orderdate].&amp;[2005-02-02T00:00:00]" c="02-02-2005"/>
              <i n="[Sales_Order].[Orderdate].&amp;[2005-02-17T00:00:00]" c="17-02-2005"/>
              <i n="[Sales_Order].[Orderdate].&amp;[2005-02-28T00:00:00]" c="28-02-2005"/>
              <i n="[Sales_Order].[Orderdate].&amp;[2005-03-03T00:00:00]" c="03-03-2005"/>
              <i n="[Sales_Order].[Orderdate].&amp;[2005-03-04T00:00:00]" c="04-03-2005"/>
              <i n="[Sales_Order].[Orderdate].&amp;[2005-03-23T00:00:00]" c="23-03-2005"/>
              <i n="[Sales_Order].[Orderdate].&amp;[2005-04-03T00:00:00]" c="03-04-2005"/>
              <i n="[Sales_Order].[Orderdate].&amp;[2005-04-22T00:00:00]" c="22-04-2005"/>
              <i n="[Sales_Order].[Orderdate].&amp;[2005-05-01T00:00:00]" c="01-05-2005"/>
              <i n="[Sales_Order].[Orderdate].&amp;[2005-05-05T00:00:00]" c="05-05-2005"/>
              <i n="[Sales_Order].[Orderdate].&amp;[2005-05-29T00:00:00]" c="29-05-2005"/>
              <i n="[Sales_Order].[Orderdate].&amp;[2005-05-30T00:00:00]" c="30-05-2005"/>
              <i n="[Sales_Order].[Orderdate].&amp;[2005-06-05T00:00:00]" c="05-06-2005"/>
              <i n="[Sales_Order].[Orderdate].&amp;[2005-07-01T00:00:00]" c="01-07-2005"/>
              <i n="[Sales_Order].[Orderdate].&amp;[2005-08-02T00:00:00]" c="02-08-2005"/>
              <i n="[Sales_Order].[Orderdate].&amp;[2005-09-03T00:00:00]" c="03-09-2005"/>
              <i n="[Sales_Order].[Orderdate].&amp;[2005-09-05T00:00:00]" c="05-09-2005"/>
              <i n="[Sales_Order].[Orderdate].&amp;[2005-12-01T00:00:00]" c="01-12-2005"/>
            </range>
          </ranges>
        </level>
      </levels>
      <selections count="1">
        <selection n="[Sales_Order].[Order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_Id" xr10:uid="{BD95A3DB-5918-4CDC-BAF3-440C7F31B420}" cache="Slicer_Qtr_Id" caption="Qtr_Id" level="1" style="SlicerStyleLight2" rowHeight="234950"/>
  <slicer name="Year_Id" xr10:uid="{9370D981-4814-48BC-8A93-6F8AEACF5EE2}" cache="Slicer_Year_Id" caption="Year_Id" level="1" style="SlicerStyleLight2" rowHeight="234950"/>
  <slicer name="Product line" xr10:uid="{1B9159E6-C39A-4771-8184-784D68303419}" cache="Slicer_Product_line" caption="Product line" level="1" style="SlicerStyleLight2" rowHeight="234950"/>
  <slicer name="Country" xr10:uid="{2670BE5F-9DE4-48EC-9E36-A2E7462879BE}" cache="Slicer_Country" caption="Country" level="1" style="SlicerStyleLight2" rowHeight="234950"/>
  <slicer name="Status" xr10:uid="{82C96FD8-7754-4243-8B3E-2CA08EC86F90}" cache="Slicer_Status" caption="Status" level="1" style="SlicerStyleLight2" rowHeight="234950"/>
  <slicer name="Orderdate" xr10:uid="{54CF2700-8DDF-44D2-A696-F0581C40A736}" cache="Slicer_Orderdate" caption="Orderdate" level="1"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_Id 2" xr10:uid="{58F57E34-9062-4B99-9674-EABF932230C4}" cache="Slicer_Qtr_Id" caption="Qtr_Id" level="1" style="SlicerStyleLight2" rowHeight="234950"/>
  <slicer name="Year_Id 1" xr10:uid="{6153AFDA-7660-436E-9233-0F66B24FB39D}" cache="Slicer_Year_Id" caption="Year_Id" level="1" style="SlicerStyleLight2" rowHeight="234950"/>
  <slicer name="Product line 1" xr10:uid="{588C7E04-7341-405D-A534-6988DDE276DD}" cache="Slicer_Product_line" caption="Product line" level="1" style="SlicerStyleLight2" rowHeight="234950"/>
  <slicer name="Country 1" xr10:uid="{D267F2DC-8538-4FBD-9C1E-10D0ADB8DE93}" cache="Slicer_Country" caption="Country" level="1" style="SlicerStyleLight2" rowHeight="234950"/>
  <slicer name="Status 1" xr10:uid="{9D9B283A-E1C4-4070-A2B5-4D8C43ED1766}" cache="Slicer_Status" caption="Status" level="1" style="SlicerStyleLight2" rowHeight="234950"/>
  <slicer name="Orderdate 1" xr10:uid="{6ACFCC89-D1EF-4F7F-B75B-C7291E5EF3B6}" cache="Slicer_Orderdate" caption="Orderdate"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7C4A2D-BAF8-4828-AF63-57E2D1DE4B49}" name="Sales_Order" displayName="Sales_Order" ref="A1:U1262" tableType="queryTable" totalsRowShown="0">
  <autoFilter ref="A1:U1262" xr:uid="{947C4A2D-BAF8-4828-AF63-57E2D1DE4B49}"/>
  <tableColumns count="21">
    <tableColumn id="1" xr3:uid="{632931E3-5E28-4724-A0C4-34A4F66F1F94}" uniqueName="1" name="Order number" queryTableFieldId="1"/>
    <tableColumn id="2" xr3:uid="{AD378472-8656-4409-9FB9-3E40373CFBD5}" uniqueName="2" name="Quantity ordered" queryTableFieldId="2"/>
    <tableColumn id="3" xr3:uid="{8ADECED9-35BC-4259-9EE1-8E64C4BB5B0F}" uniqueName="3" name="Price each" queryTableFieldId="3"/>
    <tableColumn id="4" xr3:uid="{1EF2B2E6-600E-47B2-BC14-0AC935280DF4}" uniqueName="4" name="Orderline number" queryTableFieldId="4"/>
    <tableColumn id="5" xr3:uid="{896B0509-0872-4175-A726-939BA130CB1A}" uniqueName="5" name="Orderdate" queryTableFieldId="5" dataDxfId="191"/>
    <tableColumn id="6" xr3:uid="{B0635C33-E023-4C6B-AD64-9EFA56BC59E1}" uniqueName="6" name="Status" queryTableFieldId="6" dataDxfId="190"/>
    <tableColumn id="7" xr3:uid="{85C1190C-63BA-4603-BC0B-4AE8006E0467}" uniqueName="7" name="Qtr_Id" queryTableFieldId="7"/>
    <tableColumn id="8" xr3:uid="{3C0E1666-B115-409A-83D4-FD393EC2121B}" uniqueName="8" name="Year_Id" queryTableFieldId="8"/>
    <tableColumn id="9" xr3:uid="{1FC87E6A-4198-46CF-8C2F-039AA93B1D1E}" uniqueName="9" name="Product line" queryTableFieldId="9" dataDxfId="189"/>
    <tableColumn id="10" xr3:uid="{C7B6748E-1AA3-4321-AEC8-927A16CC42C0}" uniqueName="10" name="Product code" queryTableFieldId="10" dataDxfId="188"/>
    <tableColumn id="11" xr3:uid="{240C71B6-8357-4720-86D3-749C2FBF8A79}" uniqueName="11" name="Customer name" queryTableFieldId="11" dataDxfId="187"/>
    <tableColumn id="12" xr3:uid="{F199EA24-A414-4006-8961-B9A0CBA47800}" uniqueName="12" name="Address line" queryTableFieldId="12" dataDxfId="186"/>
    <tableColumn id="13" xr3:uid="{B93118E5-8E79-4022-8B84-09CB3EC9EF84}" uniqueName="13" name="City" queryTableFieldId="13" dataDxfId="185"/>
    <tableColumn id="14" xr3:uid="{065282EE-029A-4097-99AF-A6F8B3F3FA8A}" uniqueName="14" name="State" queryTableFieldId="14" dataDxfId="184"/>
    <tableColumn id="15" xr3:uid="{372DF030-F069-4C30-8968-955FD876226D}" uniqueName="15" name="Postal code" queryTableFieldId="15" dataDxfId="183"/>
    <tableColumn id="16" xr3:uid="{2A725EC9-E8F1-4611-ABB4-632F3DFB5B61}" uniqueName="16" name="Country" queryTableFieldId="16" dataDxfId="182"/>
    <tableColumn id="17" xr3:uid="{33E0FAD1-6669-41CC-BD04-D9A1031AA50F}" uniqueName="17" name="Territory" queryTableFieldId="17" dataDxfId="181"/>
    <tableColumn id="18" xr3:uid="{6CCCBC90-FC3E-43A8-A324-B60B4399046B}" uniqueName="18" name="Contact Name" queryTableFieldId="18" dataDxfId="180"/>
    <tableColumn id="19" xr3:uid="{DE252B92-6C09-4753-84CB-171E2833DFB4}" uniqueName="19" name="Dealsize" queryTableFieldId="19" dataDxfId="179"/>
    <tableColumn id="20" xr3:uid="{24D44BAC-6040-4104-A72B-B72632F24D50}" uniqueName="20" name="Month" queryTableFieldId="20"/>
    <tableColumn id="21" xr3:uid="{17D3D3DB-AA49-4365-8FC4-95BD6573A2FB}" uniqueName="21" name="Sales Amount" queryTableFieldId="21" dataDxfId="178">
      <calculatedColumnFormula>Sales_Order[[#This Row],[Quantity ordered]]*Sales_Order[[#This Row],[Price each]]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B7E52-DE3A-4809-98EF-F3E46FB0B888}">
  <dimension ref="A3:I130"/>
  <sheetViews>
    <sheetView topLeftCell="A91" zoomScale="113" workbookViewId="0">
      <selection activeCell="B78" sqref="B78"/>
    </sheetView>
  </sheetViews>
  <sheetFormatPr defaultRowHeight="14.4" x14ac:dyDescent="0.3"/>
  <cols>
    <col min="1" max="1" width="12.5546875" bestFit="1" customWidth="1"/>
    <col min="2" max="2" width="19.21875" bestFit="1" customWidth="1"/>
    <col min="3" max="3" width="19.5546875" bestFit="1" customWidth="1"/>
    <col min="4" max="4" width="12.21875" customWidth="1"/>
    <col min="5" max="5" width="11.77734375" customWidth="1"/>
    <col min="6" max="6" width="12.109375" customWidth="1"/>
    <col min="7" max="7" width="13.5546875" customWidth="1"/>
    <col min="8" max="8" width="15.6640625" customWidth="1"/>
    <col min="9" max="9" width="17.77734375" customWidth="1"/>
  </cols>
  <sheetData>
    <row r="3" spans="1:9" x14ac:dyDescent="0.3">
      <c r="A3" s="6" t="s">
        <v>380</v>
      </c>
      <c r="B3" t="s">
        <v>392</v>
      </c>
    </row>
    <row r="4" spans="1:9" x14ac:dyDescent="0.3">
      <c r="A4" s="7" t="s">
        <v>295</v>
      </c>
      <c r="B4" s="21"/>
    </row>
    <row r="5" spans="1:9" x14ac:dyDescent="0.3">
      <c r="A5" s="8" t="s">
        <v>154</v>
      </c>
      <c r="B5" s="21">
        <v>8234.5600000000013</v>
      </c>
      <c r="E5" s="4" t="s">
        <v>374</v>
      </c>
      <c r="F5" s="4" t="s">
        <v>376</v>
      </c>
      <c r="G5" s="4" t="s">
        <v>377</v>
      </c>
      <c r="H5" s="2" t="s">
        <v>378</v>
      </c>
      <c r="I5" s="2" t="s">
        <v>379</v>
      </c>
    </row>
    <row r="6" spans="1:9" x14ac:dyDescent="0.3">
      <c r="A6" s="8" t="s">
        <v>167</v>
      </c>
      <c r="B6" s="21">
        <v>112641.45000000001</v>
      </c>
      <c r="E6" s="5">
        <f>SUM(Sales_Order[Sales Amount])</f>
        <v>3706592.8199999984</v>
      </c>
      <c r="F6" s="5">
        <f>COUNTA(_xlfn.UNIQUE(Sales_Order[Order number]))</f>
        <v>137</v>
      </c>
      <c r="G6" s="5">
        <f>SUM(Sales_Order[Quantity ordered])</f>
        <v>44296</v>
      </c>
      <c r="H6" s="3">
        <f>SUM(Sales_Order[Sales Amount])/COUNTA(_xlfn.UNIQUE(Sales_Order[Order number]))</f>
        <v>27055.42204379561</v>
      </c>
      <c r="I6" s="3">
        <f>AVERAGE(Sales_Order[Price each])</f>
        <v>83.745852498017413</v>
      </c>
    </row>
    <row r="7" spans="1:9" x14ac:dyDescent="0.3">
      <c r="A7" s="8" t="s">
        <v>188</v>
      </c>
      <c r="B7" s="21">
        <v>179235</v>
      </c>
    </row>
    <row r="8" spans="1:9" x14ac:dyDescent="0.3">
      <c r="A8" s="7" t="s">
        <v>382</v>
      </c>
      <c r="B8" s="21"/>
    </row>
    <row r="9" spans="1:9" x14ac:dyDescent="0.3">
      <c r="A9" s="8" t="s">
        <v>154</v>
      </c>
      <c r="B9" s="21">
        <v>128768.87999999999</v>
      </c>
      <c r="D9" s="12" t="s">
        <v>374</v>
      </c>
      <c r="E9" s="12" t="s">
        <v>376</v>
      </c>
      <c r="F9" s="12" t="s">
        <v>377</v>
      </c>
      <c r="G9" s="13" t="s">
        <v>378</v>
      </c>
      <c r="H9" s="13" t="s">
        <v>379</v>
      </c>
      <c r="I9" s="13" t="s">
        <v>394</v>
      </c>
    </row>
    <row r="10" spans="1:9" x14ac:dyDescent="0.3">
      <c r="A10" s="8" t="s">
        <v>167</v>
      </c>
      <c r="B10" s="21">
        <v>242676.8000000001</v>
      </c>
      <c r="D10" s="14">
        <f>SUM(Sales_Order[Sales Amount])</f>
        <v>3706592.8199999984</v>
      </c>
      <c r="E10" s="14">
        <f>COUNTA(_xlfn.UNIQUE(Sales_Order[Order number]))</f>
        <v>137</v>
      </c>
      <c r="F10" s="14">
        <f>SUM(Sales_Order[Quantity ordered])</f>
        <v>44296</v>
      </c>
      <c r="G10" s="15">
        <f>SUM(Sales_Order[Sales Amount])/COUNTA(_xlfn.UNIQUE(Sales_Order[Order number]))</f>
        <v>27055.42204379561</v>
      </c>
      <c r="H10" s="15">
        <f>AVERAGE(Sales_Order[Price each])</f>
        <v>83.745852498017413</v>
      </c>
      <c r="I10" s="12">
        <f>COUNTA(_xlfn.UNIQUE(Sales_Order[Customer name]))</f>
        <v>43</v>
      </c>
    </row>
    <row r="11" spans="1:9" x14ac:dyDescent="0.3">
      <c r="A11" s="8" t="s">
        <v>188</v>
      </c>
      <c r="B11" s="21">
        <v>65446.04</v>
      </c>
    </row>
    <row r="12" spans="1:9" x14ac:dyDescent="0.3">
      <c r="A12" s="7" t="s">
        <v>383</v>
      </c>
      <c r="B12" s="21"/>
    </row>
    <row r="13" spans="1:9" x14ac:dyDescent="0.3">
      <c r="A13" s="8" t="s">
        <v>154</v>
      </c>
      <c r="B13" s="21">
        <v>63436.680000000008</v>
      </c>
    </row>
    <row r="14" spans="1:9" x14ac:dyDescent="0.3">
      <c r="A14" s="8" t="s">
        <v>167</v>
      </c>
      <c r="B14" s="21">
        <v>77752.03</v>
      </c>
    </row>
    <row r="15" spans="1:9" x14ac:dyDescent="0.3">
      <c r="A15" s="8" t="s">
        <v>188</v>
      </c>
      <c r="B15" s="21">
        <v>100197.49</v>
      </c>
    </row>
    <row r="16" spans="1:9" x14ac:dyDescent="0.3">
      <c r="A16" s="7" t="s">
        <v>384</v>
      </c>
      <c r="B16" s="21"/>
    </row>
    <row r="17" spans="1:9" x14ac:dyDescent="0.3">
      <c r="A17" s="8" t="s">
        <v>154</v>
      </c>
      <c r="B17" s="21">
        <v>98734.51</v>
      </c>
    </row>
    <row r="18" spans="1:9" x14ac:dyDescent="0.3">
      <c r="A18" s="8" t="s">
        <v>167</v>
      </c>
      <c r="B18" s="21">
        <v>155902.53</v>
      </c>
    </row>
    <row r="19" spans="1:9" x14ac:dyDescent="0.3">
      <c r="A19" s="8" t="s">
        <v>188</v>
      </c>
      <c r="B19" s="21">
        <v>97572.760000000024</v>
      </c>
    </row>
    <row r="20" spans="1:9" x14ac:dyDescent="0.3">
      <c r="A20" s="7" t="s">
        <v>329</v>
      </c>
      <c r="B20" s="21"/>
    </row>
    <row r="21" spans="1:9" x14ac:dyDescent="0.3">
      <c r="A21" s="8" t="s">
        <v>154</v>
      </c>
      <c r="B21" s="21">
        <v>133429.09999999998</v>
      </c>
    </row>
    <row r="22" spans="1:9" x14ac:dyDescent="0.3">
      <c r="A22" s="8" t="s">
        <v>167</v>
      </c>
      <c r="B22" s="21">
        <v>82029.850000000006</v>
      </c>
    </row>
    <row r="23" spans="1:9" x14ac:dyDescent="0.3">
      <c r="A23" s="8" t="s">
        <v>188</v>
      </c>
      <c r="B23" s="21">
        <v>83592.339999999982</v>
      </c>
    </row>
    <row r="24" spans="1:9" x14ac:dyDescent="0.3">
      <c r="A24" s="7" t="s">
        <v>385</v>
      </c>
      <c r="B24" s="21"/>
    </row>
    <row r="25" spans="1:9" x14ac:dyDescent="0.3">
      <c r="A25" s="8" t="s">
        <v>154</v>
      </c>
      <c r="B25" s="21">
        <v>55352.08</v>
      </c>
    </row>
    <row r="26" spans="1:9" x14ac:dyDescent="0.3">
      <c r="A26" s="8" t="s">
        <v>167</v>
      </c>
      <c r="B26" s="21">
        <v>140129.47999999998</v>
      </c>
    </row>
    <row r="27" spans="1:9" x14ac:dyDescent="0.3">
      <c r="A27" s="8" t="s">
        <v>188</v>
      </c>
      <c r="B27" s="21">
        <v>44166.21</v>
      </c>
    </row>
    <row r="28" spans="1:9" x14ac:dyDescent="0.3">
      <c r="A28" s="7" t="s">
        <v>386</v>
      </c>
      <c r="B28" s="21"/>
    </row>
    <row r="29" spans="1:9" x14ac:dyDescent="0.3">
      <c r="A29" s="8" t="s">
        <v>154</v>
      </c>
      <c r="B29" s="21">
        <v>57046.22</v>
      </c>
    </row>
    <row r="30" spans="1:9" x14ac:dyDescent="0.3">
      <c r="A30" s="8" t="s">
        <v>167</v>
      </c>
      <c r="B30" s="21">
        <v>166173.05000000008</v>
      </c>
      <c r="I30" s="17"/>
    </row>
    <row r="31" spans="1:9" x14ac:dyDescent="0.3">
      <c r="A31" s="8" t="s">
        <v>188</v>
      </c>
      <c r="B31" s="21">
        <v>9211.7999999999993</v>
      </c>
    </row>
    <row r="32" spans="1:9" x14ac:dyDescent="0.3">
      <c r="A32" s="7" t="s">
        <v>387</v>
      </c>
      <c r="B32" s="21"/>
    </row>
    <row r="33" spans="1:2" x14ac:dyDescent="0.3">
      <c r="A33" s="8" t="s">
        <v>154</v>
      </c>
      <c r="B33" s="21">
        <v>96444.499999999985</v>
      </c>
    </row>
    <row r="34" spans="1:2" x14ac:dyDescent="0.3">
      <c r="A34" s="8" t="s">
        <v>167</v>
      </c>
      <c r="B34" s="21">
        <v>203667.53999999995</v>
      </c>
    </row>
    <row r="35" spans="1:2" x14ac:dyDescent="0.3">
      <c r="A35" s="8" t="s">
        <v>188</v>
      </c>
      <c r="B35" s="21">
        <v>3500</v>
      </c>
    </row>
    <row r="36" spans="1:2" x14ac:dyDescent="0.3">
      <c r="A36" s="7" t="s">
        <v>388</v>
      </c>
      <c r="B36" s="21"/>
    </row>
    <row r="37" spans="1:2" x14ac:dyDescent="0.3">
      <c r="A37" s="8" t="s">
        <v>154</v>
      </c>
      <c r="B37" s="21">
        <v>59814.200000000004</v>
      </c>
    </row>
    <row r="38" spans="1:2" x14ac:dyDescent="0.3">
      <c r="A38" s="8" t="s">
        <v>188</v>
      </c>
      <c r="B38" s="21">
        <v>38878.840000000004</v>
      </c>
    </row>
    <row r="39" spans="1:2" x14ac:dyDescent="0.3">
      <c r="A39" s="7" t="s">
        <v>389</v>
      </c>
      <c r="B39" s="21"/>
    </row>
    <row r="40" spans="1:2" x14ac:dyDescent="0.3">
      <c r="A40" s="8" t="s">
        <v>154</v>
      </c>
      <c r="B40" s="21">
        <v>152762.09999999995</v>
      </c>
    </row>
    <row r="41" spans="1:2" x14ac:dyDescent="0.3">
      <c r="A41" s="8" t="s">
        <v>167</v>
      </c>
      <c r="B41" s="21">
        <v>268042.31999999989</v>
      </c>
    </row>
    <row r="42" spans="1:2" x14ac:dyDescent="0.3">
      <c r="A42" s="7" t="s">
        <v>390</v>
      </c>
      <c r="B42" s="21"/>
    </row>
    <row r="43" spans="1:2" x14ac:dyDescent="0.3">
      <c r="A43" s="8" t="s">
        <v>154</v>
      </c>
      <c r="B43" s="21">
        <v>264224.73000000004</v>
      </c>
    </row>
    <row r="44" spans="1:2" x14ac:dyDescent="0.3">
      <c r="A44" s="8" t="s">
        <v>167</v>
      </c>
      <c r="B44" s="21">
        <v>331258.94999999995</v>
      </c>
    </row>
    <row r="45" spans="1:2" x14ac:dyDescent="0.3">
      <c r="A45" s="7" t="s">
        <v>391</v>
      </c>
      <c r="B45" s="21"/>
    </row>
    <row r="46" spans="1:2" x14ac:dyDescent="0.3">
      <c r="A46" s="8" t="s">
        <v>154</v>
      </c>
      <c r="B46" s="21">
        <v>71599.949999999983</v>
      </c>
    </row>
    <row r="47" spans="1:2" x14ac:dyDescent="0.3">
      <c r="A47" s="8" t="s">
        <v>167</v>
      </c>
      <c r="B47" s="21">
        <v>78908.930000000008</v>
      </c>
    </row>
    <row r="48" spans="1:2" x14ac:dyDescent="0.3">
      <c r="A48" s="8" t="s">
        <v>188</v>
      </c>
      <c r="B48" s="21">
        <v>35761.899999999994</v>
      </c>
    </row>
    <row r="49" spans="1:2" x14ac:dyDescent="0.3">
      <c r="A49" s="7" t="s">
        <v>381</v>
      </c>
      <c r="B49" s="5">
        <v>3706592.8199999984</v>
      </c>
    </row>
    <row r="52" spans="1:2" x14ac:dyDescent="0.3">
      <c r="A52" s="6" t="s">
        <v>380</v>
      </c>
      <c r="B52" t="s">
        <v>392</v>
      </c>
    </row>
    <row r="53" spans="1:2" x14ac:dyDescent="0.3">
      <c r="A53" s="7" t="s">
        <v>22</v>
      </c>
      <c r="B53" s="21">
        <v>1190415.6899999995</v>
      </c>
    </row>
    <row r="54" spans="1:2" x14ac:dyDescent="0.3">
      <c r="A54" s="7" t="s">
        <v>49</v>
      </c>
      <c r="B54" s="21">
        <v>800256.11999999976</v>
      </c>
    </row>
    <row r="55" spans="1:2" x14ac:dyDescent="0.3">
      <c r="A55" s="7" t="s">
        <v>1</v>
      </c>
      <c r="B55" s="21">
        <v>478310.06000000017</v>
      </c>
    </row>
    <row r="56" spans="1:2" x14ac:dyDescent="0.3">
      <c r="A56" s="7" t="s">
        <v>53</v>
      </c>
      <c r="B56" s="21">
        <v>447072.62999999989</v>
      </c>
    </row>
    <row r="57" spans="1:2" x14ac:dyDescent="0.3">
      <c r="A57" s="7" t="s">
        <v>38</v>
      </c>
      <c r="B57" s="21">
        <v>439533.1700000001</v>
      </c>
    </row>
    <row r="58" spans="1:2" x14ac:dyDescent="0.3">
      <c r="A58" s="7" t="s">
        <v>68</v>
      </c>
      <c r="B58" s="21">
        <v>274675.51</v>
      </c>
    </row>
    <row r="59" spans="1:2" x14ac:dyDescent="0.3">
      <c r="A59" s="7" t="s">
        <v>71</v>
      </c>
      <c r="B59" s="21">
        <v>76329.64</v>
      </c>
    </row>
    <row r="60" spans="1:2" x14ac:dyDescent="0.3">
      <c r="A60" s="7" t="s">
        <v>381</v>
      </c>
      <c r="B60" s="5">
        <v>3706592.8199999984</v>
      </c>
    </row>
    <row r="64" spans="1:2" x14ac:dyDescent="0.3">
      <c r="A64" s="6" t="s">
        <v>380</v>
      </c>
      <c r="B64" t="s">
        <v>392</v>
      </c>
    </row>
    <row r="65" spans="1:2" x14ac:dyDescent="0.3">
      <c r="A65" s="7" t="s">
        <v>225</v>
      </c>
      <c r="B65" s="21">
        <v>530587.19000000018</v>
      </c>
    </row>
    <row r="66" spans="1:2" x14ac:dyDescent="0.3">
      <c r="A66" s="7" t="s">
        <v>9</v>
      </c>
      <c r="B66" s="21">
        <v>164575.87000000002</v>
      </c>
    </row>
    <row r="67" spans="1:2" x14ac:dyDescent="0.3">
      <c r="A67" s="7" t="s">
        <v>36</v>
      </c>
      <c r="B67" s="21">
        <v>151782.03999999992</v>
      </c>
    </row>
    <row r="68" spans="1:2" x14ac:dyDescent="0.3">
      <c r="A68" s="7" t="s">
        <v>155</v>
      </c>
      <c r="B68" s="21">
        <v>138798.17000000001</v>
      </c>
    </row>
    <row r="69" spans="1:2" x14ac:dyDescent="0.3">
      <c r="A69" s="7" t="s">
        <v>272</v>
      </c>
      <c r="B69" s="21">
        <v>136383.03999999998</v>
      </c>
    </row>
    <row r="70" spans="1:2" x14ac:dyDescent="0.3">
      <c r="A70" s="7" t="s">
        <v>18</v>
      </c>
      <c r="B70" s="21">
        <v>133223.38</v>
      </c>
    </row>
    <row r="71" spans="1:2" x14ac:dyDescent="0.3">
      <c r="A71" s="7" t="s">
        <v>26</v>
      </c>
      <c r="B71" s="21">
        <v>121260.40999999999</v>
      </c>
    </row>
    <row r="72" spans="1:2" x14ac:dyDescent="0.3">
      <c r="A72" s="7" t="s">
        <v>163</v>
      </c>
      <c r="B72" s="21">
        <v>102489.13</v>
      </c>
    </row>
    <row r="73" spans="1:2" x14ac:dyDescent="0.3">
      <c r="A73" s="7" t="s">
        <v>228</v>
      </c>
      <c r="B73" s="21">
        <v>101428.49999999999</v>
      </c>
    </row>
    <row r="74" spans="1:2" x14ac:dyDescent="0.3">
      <c r="A74" s="7" t="s">
        <v>220</v>
      </c>
      <c r="B74" s="21">
        <v>97456.039999999964</v>
      </c>
    </row>
    <row r="75" spans="1:2" x14ac:dyDescent="0.3">
      <c r="A75" s="7" t="s">
        <v>381</v>
      </c>
      <c r="B75" s="5">
        <v>1677983.7699999993</v>
      </c>
    </row>
    <row r="78" spans="1:2" x14ac:dyDescent="0.3">
      <c r="A78" s="6" t="s">
        <v>380</v>
      </c>
      <c r="B78" t="s">
        <v>392</v>
      </c>
    </row>
    <row r="79" spans="1:2" x14ac:dyDescent="0.3">
      <c r="A79" s="7" t="s">
        <v>5</v>
      </c>
      <c r="B79" s="21">
        <v>2765243.1999999993</v>
      </c>
    </row>
    <row r="80" spans="1:2" x14ac:dyDescent="0.3">
      <c r="A80" s="7" t="s">
        <v>13</v>
      </c>
      <c r="B80" s="21">
        <v>521598.45999999985</v>
      </c>
    </row>
    <row r="81" spans="1:2" x14ac:dyDescent="0.3">
      <c r="A81" s="7" t="s">
        <v>210</v>
      </c>
      <c r="B81" s="21">
        <v>193504.34000000003</v>
      </c>
    </row>
    <row r="82" spans="1:2" x14ac:dyDescent="0.3">
      <c r="A82" s="7" t="s">
        <v>195</v>
      </c>
      <c r="B82" s="21">
        <v>153076.68999999994</v>
      </c>
    </row>
    <row r="83" spans="1:2" x14ac:dyDescent="0.3">
      <c r="A83" s="7" t="s">
        <v>193</v>
      </c>
      <c r="B83" s="21">
        <v>73170.12999999999</v>
      </c>
    </row>
    <row r="84" spans="1:2" x14ac:dyDescent="0.3">
      <c r="A84" s="7" t="s">
        <v>381</v>
      </c>
      <c r="B84" s="5">
        <v>3706592.8199999984</v>
      </c>
    </row>
    <row r="89" spans="1:2" x14ac:dyDescent="0.3">
      <c r="A89" s="6" t="s">
        <v>380</v>
      </c>
      <c r="B89" t="s">
        <v>393</v>
      </c>
    </row>
    <row r="90" spans="1:2" x14ac:dyDescent="0.3">
      <c r="A90" s="7" t="s">
        <v>254</v>
      </c>
      <c r="B90" s="21">
        <v>143472</v>
      </c>
    </row>
    <row r="91" spans="1:2" x14ac:dyDescent="0.3">
      <c r="A91" s="7" t="s">
        <v>194</v>
      </c>
      <c r="B91" s="21">
        <v>52075</v>
      </c>
    </row>
    <row r="92" spans="1:2" x14ac:dyDescent="0.3">
      <c r="A92" s="7" t="s">
        <v>29</v>
      </c>
      <c r="B92" s="21">
        <v>177146</v>
      </c>
    </row>
    <row r="93" spans="1:2" x14ac:dyDescent="0.3">
      <c r="A93" s="7" t="s">
        <v>275</v>
      </c>
      <c r="B93" s="21">
        <v>395492</v>
      </c>
    </row>
    <row r="94" spans="1:2" x14ac:dyDescent="0.3">
      <c r="A94" s="7" t="s">
        <v>276</v>
      </c>
      <c r="B94" s="21">
        <v>134771</v>
      </c>
    </row>
    <row r="95" spans="1:2" x14ac:dyDescent="0.3">
      <c r="A95" s="7" t="s">
        <v>0</v>
      </c>
      <c r="B95" s="21">
        <v>12038216</v>
      </c>
    </row>
    <row r="96" spans="1:2" x14ac:dyDescent="0.3">
      <c r="A96" s="7" t="s">
        <v>381</v>
      </c>
      <c r="B96" s="5">
        <v>12941172</v>
      </c>
    </row>
    <row r="102" spans="1:2" x14ac:dyDescent="0.3">
      <c r="A102" s="6" t="s">
        <v>380</v>
      </c>
      <c r="B102" t="s">
        <v>392</v>
      </c>
    </row>
    <row r="103" spans="1:2" x14ac:dyDescent="0.3">
      <c r="A103" s="7" t="s">
        <v>17</v>
      </c>
      <c r="B103" s="21">
        <v>327209.75</v>
      </c>
    </row>
    <row r="104" spans="1:2" x14ac:dyDescent="0.3">
      <c r="A104" s="7" t="s">
        <v>8</v>
      </c>
      <c r="B104" s="21">
        <v>2221494.2900000014</v>
      </c>
    </row>
    <row r="105" spans="1:2" x14ac:dyDescent="0.3">
      <c r="A105" s="7" t="s">
        <v>7</v>
      </c>
      <c r="B105" s="21">
        <v>1157888.7800000003</v>
      </c>
    </row>
    <row r="106" spans="1:2" x14ac:dyDescent="0.3">
      <c r="A106" s="7" t="s">
        <v>381</v>
      </c>
      <c r="B106" s="5">
        <v>3706592.8199999984</v>
      </c>
    </row>
    <row r="115" spans="1:2" x14ac:dyDescent="0.3">
      <c r="A115" s="6" t="s">
        <v>380</v>
      </c>
      <c r="B115" t="s">
        <v>392</v>
      </c>
    </row>
    <row r="116" spans="1:2" x14ac:dyDescent="0.3">
      <c r="A116" s="7" t="s">
        <v>14</v>
      </c>
      <c r="B116" s="21">
        <v>521598.45999999985</v>
      </c>
    </row>
    <row r="117" spans="1:2" x14ac:dyDescent="0.3">
      <c r="A117" s="7" t="s">
        <v>157</v>
      </c>
      <c r="B117" s="21">
        <v>73170.12999999999</v>
      </c>
    </row>
    <row r="118" spans="1:2" x14ac:dyDescent="0.3">
      <c r="A118" s="7" t="s">
        <v>195</v>
      </c>
      <c r="B118" s="21">
        <v>153076.68999999994</v>
      </c>
    </row>
    <row r="119" spans="1:2" x14ac:dyDescent="0.3">
      <c r="A119" s="7" t="s">
        <v>6</v>
      </c>
      <c r="B119" s="21">
        <v>2958747.5399999986</v>
      </c>
    </row>
    <row r="120" spans="1:2" x14ac:dyDescent="0.3">
      <c r="A120" s="7" t="s">
        <v>381</v>
      </c>
      <c r="B120" s="5">
        <v>3706592.8199999984</v>
      </c>
    </row>
    <row r="125" spans="1:2" x14ac:dyDescent="0.3">
      <c r="A125" s="6" t="s">
        <v>380</v>
      </c>
      <c r="B125" t="s">
        <v>392</v>
      </c>
    </row>
    <row r="126" spans="1:2" x14ac:dyDescent="0.3">
      <c r="A126" s="7">
        <v>1</v>
      </c>
      <c r="B126" s="21">
        <v>744955.86000000034</v>
      </c>
    </row>
    <row r="127" spans="1:2" x14ac:dyDescent="0.3">
      <c r="A127" s="7">
        <v>2</v>
      </c>
      <c r="B127" s="21">
        <v>790482.73999999964</v>
      </c>
    </row>
    <row r="128" spans="1:2" x14ac:dyDescent="0.3">
      <c r="A128" s="7">
        <v>3</v>
      </c>
      <c r="B128" s="21">
        <v>770819.83000000019</v>
      </c>
    </row>
    <row r="129" spans="1:2" x14ac:dyDescent="0.3">
      <c r="A129" s="7">
        <v>4</v>
      </c>
      <c r="B129" s="21">
        <v>1400334.3900000004</v>
      </c>
    </row>
    <row r="130" spans="1:2" x14ac:dyDescent="0.3">
      <c r="A130" s="7" t="s">
        <v>381</v>
      </c>
      <c r="B130" s="5">
        <v>3706592.8199999984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854D6-1DB3-440D-98E3-1CF31BB54E38}">
  <sheetPr>
    <pageSetUpPr fitToPage="1"/>
  </sheetPr>
  <dimension ref="E4:W11"/>
  <sheetViews>
    <sheetView showGridLines="0" tabSelected="1" topLeftCell="I7" zoomScale="53" zoomScaleNormal="67" workbookViewId="0">
      <selection activeCell="AK42" sqref="AK42"/>
    </sheetView>
  </sheetViews>
  <sheetFormatPr defaultRowHeight="14.4" x14ac:dyDescent="0.3"/>
  <cols>
    <col min="1" max="5" width="8.88671875" style="9"/>
    <col min="6" max="7" width="8.88671875" style="9" customWidth="1"/>
    <col min="8" max="9" width="8.88671875" style="9"/>
    <col min="10" max="10" width="8.88671875" style="19" customWidth="1"/>
    <col min="11" max="16384" width="8.88671875" style="9"/>
  </cols>
  <sheetData>
    <row r="4" spans="5:23" x14ac:dyDescent="0.3">
      <c r="F4" s="10"/>
    </row>
    <row r="5" spans="5:23" x14ac:dyDescent="0.3">
      <c r="F5" s="11"/>
    </row>
    <row r="6" spans="5:23" x14ac:dyDescent="0.3">
      <c r="E6" s="10"/>
    </row>
    <row r="7" spans="5:23" x14ac:dyDescent="0.3">
      <c r="E7" s="11"/>
    </row>
    <row r="8" spans="5:23" x14ac:dyDescent="0.3">
      <c r="K8" s="20"/>
    </row>
    <row r="9" spans="5:23" x14ac:dyDescent="0.3">
      <c r="W9" s="18"/>
    </row>
    <row r="11" spans="5:23" x14ac:dyDescent="0.3">
      <c r="F11" s="16"/>
    </row>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F5085-79B2-420E-B709-A6008F9BB7A9}">
  <dimension ref="A1:U1262"/>
  <sheetViews>
    <sheetView workbookViewId="0">
      <selection activeCell="F17" sqref="F17"/>
    </sheetView>
  </sheetViews>
  <sheetFormatPr defaultRowHeight="14.4" x14ac:dyDescent="0.3"/>
  <cols>
    <col min="1" max="1" width="15.109375" bestFit="1" customWidth="1"/>
    <col min="2" max="2" width="17.77734375" bestFit="1" customWidth="1"/>
    <col min="3" max="3" width="11.77734375" bestFit="1" customWidth="1"/>
    <col min="4" max="4" width="18.21875" bestFit="1" customWidth="1"/>
    <col min="5" max="5" width="15.44140625" bestFit="1" customWidth="1"/>
    <col min="6" max="6" width="9.21875" bestFit="1" customWidth="1"/>
    <col min="7" max="7" width="8.5546875" bestFit="1" customWidth="1"/>
    <col min="8" max="8" width="9.5546875" bestFit="1" customWidth="1"/>
    <col min="9" max="9" width="14.88671875" bestFit="1" customWidth="1"/>
    <col min="10" max="10" width="14.44140625" bestFit="1" customWidth="1"/>
    <col min="11" max="11" width="28.33203125" bestFit="1" customWidth="1"/>
    <col min="12" max="12" width="35" bestFit="1" customWidth="1"/>
    <col min="13" max="13" width="13.21875" bestFit="1" customWidth="1"/>
    <col min="14" max="14" width="11.21875" bestFit="1" customWidth="1"/>
    <col min="15" max="15" width="12.88671875" bestFit="1" customWidth="1"/>
    <col min="16" max="16" width="10" bestFit="1" customWidth="1"/>
    <col min="17" max="17" width="10.44140625" bestFit="1" customWidth="1"/>
    <col min="18" max="18" width="17.33203125" bestFit="1" customWidth="1"/>
    <col min="19" max="19" width="9.88671875" bestFit="1" customWidth="1"/>
    <col min="20" max="20" width="9.77734375" bestFit="1" customWidth="1"/>
    <col min="21" max="21" width="14.77734375" bestFit="1" customWidth="1"/>
  </cols>
  <sheetData>
    <row r="1" spans="1:21" x14ac:dyDescent="0.3">
      <c r="A1" t="s">
        <v>138</v>
      </c>
      <c r="B1" t="s">
        <v>139</v>
      </c>
      <c r="C1" t="s">
        <v>140</v>
      </c>
      <c r="D1" t="s">
        <v>141</v>
      </c>
      <c r="E1" t="s">
        <v>142</v>
      </c>
      <c r="F1" t="s">
        <v>143</v>
      </c>
      <c r="G1" t="s">
        <v>144</v>
      </c>
      <c r="H1" t="s">
        <v>145</v>
      </c>
      <c r="I1" t="s">
        <v>146</v>
      </c>
      <c r="J1" t="s">
        <v>147</v>
      </c>
      <c r="K1" t="s">
        <v>148</v>
      </c>
      <c r="L1" t="s">
        <v>315</v>
      </c>
      <c r="M1" t="s">
        <v>149</v>
      </c>
      <c r="N1" t="s">
        <v>150</v>
      </c>
      <c r="O1" t="s">
        <v>151</v>
      </c>
      <c r="P1" t="s">
        <v>152</v>
      </c>
      <c r="Q1" t="s">
        <v>153</v>
      </c>
      <c r="R1" t="s">
        <v>316</v>
      </c>
      <c r="S1" t="s">
        <v>317</v>
      </c>
      <c r="T1" t="s">
        <v>318</v>
      </c>
      <c r="U1" t="s">
        <v>375</v>
      </c>
    </row>
    <row r="2" spans="1:21" x14ac:dyDescent="0.3">
      <c r="A2">
        <v>10107</v>
      </c>
      <c r="B2">
        <v>30</v>
      </c>
      <c r="C2">
        <v>95.7</v>
      </c>
      <c r="D2">
        <v>2</v>
      </c>
      <c r="E2" s="1">
        <v>37676</v>
      </c>
      <c r="F2" t="s">
        <v>0</v>
      </c>
      <c r="G2">
        <v>1</v>
      </c>
      <c r="H2">
        <v>2003</v>
      </c>
      <c r="I2" t="s">
        <v>1</v>
      </c>
      <c r="J2" t="s">
        <v>2</v>
      </c>
      <c r="K2" t="s">
        <v>155</v>
      </c>
      <c r="L2" t="s">
        <v>156</v>
      </c>
      <c r="M2" t="s">
        <v>3</v>
      </c>
      <c r="N2" t="s">
        <v>4</v>
      </c>
      <c r="O2" t="s">
        <v>135</v>
      </c>
      <c r="P2" t="s">
        <v>5</v>
      </c>
      <c r="Q2" t="s">
        <v>6</v>
      </c>
      <c r="R2" t="s">
        <v>319</v>
      </c>
      <c r="S2" t="s">
        <v>7</v>
      </c>
      <c r="T2" t="s">
        <v>320</v>
      </c>
      <c r="U2">
        <f>Sales_Order[[#This Row],[Quantity ordered]]*Sales_Order[[#This Row],[Price each]]</f>
        <v>2871</v>
      </c>
    </row>
    <row r="3" spans="1:21" x14ac:dyDescent="0.3">
      <c r="A3">
        <v>10145</v>
      </c>
      <c r="B3">
        <v>45</v>
      </c>
      <c r="C3">
        <v>83.26</v>
      </c>
      <c r="D3">
        <v>6</v>
      </c>
      <c r="E3" s="1">
        <v>37858</v>
      </c>
      <c r="F3" t="s">
        <v>0</v>
      </c>
      <c r="G3">
        <v>3</v>
      </c>
      <c r="H3">
        <v>2003</v>
      </c>
      <c r="I3" t="s">
        <v>1</v>
      </c>
      <c r="J3" t="s">
        <v>2</v>
      </c>
      <c r="K3" t="s">
        <v>158</v>
      </c>
      <c r="L3" t="s">
        <v>159</v>
      </c>
      <c r="M3" t="s">
        <v>160</v>
      </c>
      <c r="N3" t="s">
        <v>161</v>
      </c>
      <c r="O3" t="s">
        <v>162</v>
      </c>
      <c r="P3" t="s">
        <v>5</v>
      </c>
      <c r="Q3" t="s">
        <v>6</v>
      </c>
      <c r="R3" t="s">
        <v>321</v>
      </c>
      <c r="S3" t="s">
        <v>8</v>
      </c>
      <c r="T3" t="s">
        <v>322</v>
      </c>
      <c r="U3">
        <f>Sales_Order[[#This Row],[Quantity ordered]]*Sales_Order[[#This Row],[Price each]]</f>
        <v>3746.7000000000003</v>
      </c>
    </row>
    <row r="4" spans="1:21" x14ac:dyDescent="0.3">
      <c r="A4">
        <v>10168</v>
      </c>
      <c r="B4">
        <v>36</v>
      </c>
      <c r="C4">
        <v>96.66</v>
      </c>
      <c r="D4">
        <v>1</v>
      </c>
      <c r="E4" s="1">
        <v>37922</v>
      </c>
      <c r="F4" t="s">
        <v>0</v>
      </c>
      <c r="G4">
        <v>4</v>
      </c>
      <c r="H4">
        <v>2003</v>
      </c>
      <c r="I4" t="s">
        <v>1</v>
      </c>
      <c r="J4" t="s">
        <v>2</v>
      </c>
      <c r="K4" t="s">
        <v>163</v>
      </c>
      <c r="L4" t="s">
        <v>164</v>
      </c>
      <c r="M4" t="s">
        <v>165</v>
      </c>
      <c r="N4" t="s">
        <v>161</v>
      </c>
      <c r="O4" t="s">
        <v>166</v>
      </c>
      <c r="P4" t="s">
        <v>5</v>
      </c>
      <c r="Q4" t="s">
        <v>6</v>
      </c>
      <c r="R4" t="s">
        <v>323</v>
      </c>
      <c r="S4" t="s">
        <v>8</v>
      </c>
      <c r="T4" t="s">
        <v>324</v>
      </c>
      <c r="U4">
        <f>Sales_Order[[#This Row],[Quantity ordered]]*Sales_Order[[#This Row],[Price each]]</f>
        <v>3479.7599999999998</v>
      </c>
    </row>
    <row r="5" spans="1:21" x14ac:dyDescent="0.3">
      <c r="A5">
        <v>10223</v>
      </c>
      <c r="B5">
        <v>37</v>
      </c>
      <c r="C5">
        <v>100</v>
      </c>
      <c r="D5">
        <v>1</v>
      </c>
      <c r="E5" s="1">
        <v>38037</v>
      </c>
      <c r="F5" t="s">
        <v>0</v>
      </c>
      <c r="G5">
        <v>1</v>
      </c>
      <c r="H5">
        <v>2004</v>
      </c>
      <c r="I5" t="s">
        <v>1</v>
      </c>
      <c r="J5" t="s">
        <v>2</v>
      </c>
      <c r="K5" t="s">
        <v>9</v>
      </c>
      <c r="L5" t="s">
        <v>10</v>
      </c>
      <c r="M5" t="s">
        <v>11</v>
      </c>
      <c r="N5" t="s">
        <v>12</v>
      </c>
      <c r="O5" t="s">
        <v>134</v>
      </c>
      <c r="P5" t="s">
        <v>13</v>
      </c>
      <c r="Q5" t="s">
        <v>14</v>
      </c>
      <c r="R5" t="s">
        <v>325</v>
      </c>
      <c r="S5" t="s">
        <v>8</v>
      </c>
      <c r="T5" t="s">
        <v>320</v>
      </c>
      <c r="U5">
        <f>Sales_Order[[#This Row],[Quantity ordered]]*Sales_Order[[#This Row],[Price each]]</f>
        <v>3700</v>
      </c>
    </row>
    <row r="6" spans="1:21" x14ac:dyDescent="0.3">
      <c r="A6">
        <v>10237</v>
      </c>
      <c r="B6">
        <v>23</v>
      </c>
      <c r="C6">
        <v>100</v>
      </c>
      <c r="D6">
        <v>7</v>
      </c>
      <c r="E6" s="1">
        <v>38111</v>
      </c>
      <c r="F6" t="s">
        <v>0</v>
      </c>
      <c r="G6">
        <v>2</v>
      </c>
      <c r="H6">
        <v>2004</v>
      </c>
      <c r="I6" t="s">
        <v>1</v>
      </c>
      <c r="J6" t="s">
        <v>2</v>
      </c>
      <c r="K6" t="s">
        <v>15</v>
      </c>
      <c r="L6" t="s">
        <v>16</v>
      </c>
      <c r="M6" t="s">
        <v>3</v>
      </c>
      <c r="N6" t="s">
        <v>4</v>
      </c>
      <c r="O6" t="s">
        <v>135</v>
      </c>
      <c r="P6" t="s">
        <v>5</v>
      </c>
      <c r="Q6" t="s">
        <v>6</v>
      </c>
      <c r="R6" t="s">
        <v>326</v>
      </c>
      <c r="S6" t="s">
        <v>7</v>
      </c>
      <c r="T6" t="s">
        <v>327</v>
      </c>
      <c r="U6">
        <f>Sales_Order[[#This Row],[Quantity ordered]]*Sales_Order[[#This Row],[Price each]]</f>
        <v>2300</v>
      </c>
    </row>
    <row r="7" spans="1:21" x14ac:dyDescent="0.3">
      <c r="A7">
        <v>10251</v>
      </c>
      <c r="B7">
        <v>28</v>
      </c>
      <c r="C7">
        <v>100</v>
      </c>
      <c r="D7">
        <v>2</v>
      </c>
      <c r="E7" s="1">
        <v>38125</v>
      </c>
      <c r="F7" t="s">
        <v>0</v>
      </c>
      <c r="G7">
        <v>2</v>
      </c>
      <c r="H7">
        <v>2004</v>
      </c>
      <c r="I7" t="s">
        <v>1</v>
      </c>
      <c r="J7" t="s">
        <v>2</v>
      </c>
      <c r="K7" t="s">
        <v>168</v>
      </c>
      <c r="L7" t="s">
        <v>169</v>
      </c>
      <c r="M7" t="s">
        <v>170</v>
      </c>
      <c r="N7" t="s">
        <v>171</v>
      </c>
      <c r="O7" t="s">
        <v>172</v>
      </c>
      <c r="P7" t="s">
        <v>5</v>
      </c>
      <c r="Q7" t="s">
        <v>6</v>
      </c>
      <c r="R7" t="s">
        <v>328</v>
      </c>
      <c r="S7" t="s">
        <v>8</v>
      </c>
      <c r="T7" t="s">
        <v>329</v>
      </c>
      <c r="U7">
        <f>Sales_Order[[#This Row],[Quantity ordered]]*Sales_Order[[#This Row],[Price each]]</f>
        <v>2800</v>
      </c>
    </row>
    <row r="8" spans="1:21" x14ac:dyDescent="0.3">
      <c r="A8">
        <v>10263</v>
      </c>
      <c r="B8">
        <v>34</v>
      </c>
      <c r="C8">
        <v>100</v>
      </c>
      <c r="D8">
        <v>2</v>
      </c>
      <c r="E8" s="1">
        <v>38166</v>
      </c>
      <c r="F8" t="s">
        <v>0</v>
      </c>
      <c r="G8">
        <v>2</v>
      </c>
      <c r="H8">
        <v>2004</v>
      </c>
      <c r="I8" t="s">
        <v>1</v>
      </c>
      <c r="J8" t="s">
        <v>2</v>
      </c>
      <c r="K8" t="s">
        <v>173</v>
      </c>
      <c r="L8" t="s">
        <v>174</v>
      </c>
      <c r="M8" t="s">
        <v>175</v>
      </c>
      <c r="N8" t="s">
        <v>176</v>
      </c>
      <c r="O8" t="s">
        <v>177</v>
      </c>
      <c r="P8" t="s">
        <v>5</v>
      </c>
      <c r="Q8" t="s">
        <v>6</v>
      </c>
      <c r="R8" t="s">
        <v>330</v>
      </c>
      <c r="S8" t="s">
        <v>8</v>
      </c>
      <c r="T8" t="s">
        <v>331</v>
      </c>
      <c r="U8">
        <f>Sales_Order[[#This Row],[Quantity ordered]]*Sales_Order[[#This Row],[Price each]]</f>
        <v>3400</v>
      </c>
    </row>
    <row r="9" spans="1:21" x14ac:dyDescent="0.3">
      <c r="A9">
        <v>10285</v>
      </c>
      <c r="B9">
        <v>36</v>
      </c>
      <c r="C9">
        <v>100</v>
      </c>
      <c r="D9">
        <v>6</v>
      </c>
      <c r="E9" s="1">
        <v>38226</v>
      </c>
      <c r="F9" t="s">
        <v>0</v>
      </c>
      <c r="G9">
        <v>3</v>
      </c>
      <c r="H9">
        <v>2004</v>
      </c>
      <c r="I9" t="s">
        <v>1</v>
      </c>
      <c r="J9" t="s">
        <v>2</v>
      </c>
      <c r="K9" t="s">
        <v>178</v>
      </c>
      <c r="L9" t="s">
        <v>179</v>
      </c>
      <c r="M9" t="s">
        <v>180</v>
      </c>
      <c r="N9" t="s">
        <v>181</v>
      </c>
      <c r="O9" t="s">
        <v>182</v>
      </c>
      <c r="P9" t="s">
        <v>5</v>
      </c>
      <c r="Q9" t="s">
        <v>6</v>
      </c>
      <c r="R9" t="s">
        <v>332</v>
      </c>
      <c r="S9" t="s">
        <v>8</v>
      </c>
      <c r="T9" t="s">
        <v>322</v>
      </c>
      <c r="U9">
        <f>Sales_Order[[#This Row],[Quantity ordered]]*Sales_Order[[#This Row],[Price each]]</f>
        <v>3600</v>
      </c>
    </row>
    <row r="10" spans="1:21" x14ac:dyDescent="0.3">
      <c r="A10">
        <v>10318</v>
      </c>
      <c r="B10">
        <v>46</v>
      </c>
      <c r="C10">
        <v>94.74</v>
      </c>
      <c r="D10">
        <v>1</v>
      </c>
      <c r="E10" s="1">
        <v>38028</v>
      </c>
      <c r="F10" t="s">
        <v>0</v>
      </c>
      <c r="G10">
        <v>4</v>
      </c>
      <c r="H10">
        <v>2004</v>
      </c>
      <c r="I10" t="s">
        <v>1</v>
      </c>
      <c r="J10" t="s">
        <v>2</v>
      </c>
      <c r="K10" t="s">
        <v>183</v>
      </c>
      <c r="L10" t="s">
        <v>184</v>
      </c>
      <c r="M10" t="s">
        <v>185</v>
      </c>
      <c r="N10" t="s">
        <v>186</v>
      </c>
      <c r="O10" t="s">
        <v>187</v>
      </c>
      <c r="P10" t="s">
        <v>5</v>
      </c>
      <c r="Q10" t="s">
        <v>6</v>
      </c>
      <c r="R10" t="s">
        <v>333</v>
      </c>
      <c r="S10" t="s">
        <v>8</v>
      </c>
      <c r="T10" t="s">
        <v>334</v>
      </c>
      <c r="U10">
        <f>Sales_Order[[#This Row],[Quantity ordered]]*Sales_Order[[#This Row],[Price each]]</f>
        <v>4358.04</v>
      </c>
    </row>
    <row r="11" spans="1:21" x14ac:dyDescent="0.3">
      <c r="A11">
        <v>10329</v>
      </c>
      <c r="B11">
        <v>42</v>
      </c>
      <c r="C11">
        <v>100</v>
      </c>
      <c r="D11">
        <v>1</v>
      </c>
      <c r="E11" s="1">
        <v>38306</v>
      </c>
      <c r="F11" t="s">
        <v>0</v>
      </c>
      <c r="G11">
        <v>4</v>
      </c>
      <c r="H11">
        <v>2004</v>
      </c>
      <c r="I11" t="s">
        <v>1</v>
      </c>
      <c r="J11" t="s">
        <v>2</v>
      </c>
      <c r="K11" t="s">
        <v>155</v>
      </c>
      <c r="L11" t="s">
        <v>156</v>
      </c>
      <c r="M11" t="s">
        <v>3</v>
      </c>
      <c r="N11" t="s">
        <v>4</v>
      </c>
      <c r="O11" t="s">
        <v>135</v>
      </c>
      <c r="P11" t="s">
        <v>5</v>
      </c>
      <c r="Q11" t="s">
        <v>6</v>
      </c>
      <c r="R11" t="s">
        <v>319</v>
      </c>
      <c r="S11" t="s">
        <v>8</v>
      </c>
      <c r="T11" t="s">
        <v>334</v>
      </c>
      <c r="U11">
        <f>Sales_Order[[#This Row],[Quantity ordered]]*Sales_Order[[#This Row],[Price each]]</f>
        <v>4200</v>
      </c>
    </row>
    <row r="12" spans="1:21" x14ac:dyDescent="0.3">
      <c r="A12">
        <v>10361</v>
      </c>
      <c r="B12">
        <v>20</v>
      </c>
      <c r="C12">
        <v>72.55</v>
      </c>
      <c r="D12">
        <v>13</v>
      </c>
      <c r="E12" s="1">
        <v>38338</v>
      </c>
      <c r="F12" t="s">
        <v>0</v>
      </c>
      <c r="G12">
        <v>4</v>
      </c>
      <c r="H12">
        <v>2004</v>
      </c>
      <c r="I12" t="s">
        <v>1</v>
      </c>
      <c r="J12" t="s">
        <v>2</v>
      </c>
      <c r="K12" t="s">
        <v>18</v>
      </c>
      <c r="L12" t="s">
        <v>19</v>
      </c>
      <c r="M12" t="s">
        <v>20</v>
      </c>
      <c r="N12" t="s">
        <v>21</v>
      </c>
      <c r="O12" t="s">
        <v>136</v>
      </c>
      <c r="P12" t="s">
        <v>13</v>
      </c>
      <c r="Q12" t="s">
        <v>14</v>
      </c>
      <c r="R12" t="s">
        <v>335</v>
      </c>
      <c r="S12" t="s">
        <v>7</v>
      </c>
      <c r="T12" t="s">
        <v>336</v>
      </c>
      <c r="U12">
        <f>Sales_Order[[#This Row],[Quantity ordered]]*Sales_Order[[#This Row],[Price each]]</f>
        <v>1451</v>
      </c>
    </row>
    <row r="13" spans="1:21" x14ac:dyDescent="0.3">
      <c r="A13">
        <v>10388</v>
      </c>
      <c r="B13">
        <v>42</v>
      </c>
      <c r="C13">
        <v>76.36</v>
      </c>
      <c r="D13">
        <v>4</v>
      </c>
      <c r="E13" s="1">
        <v>38414</v>
      </c>
      <c r="F13" t="s">
        <v>0</v>
      </c>
      <c r="G13">
        <v>1</v>
      </c>
      <c r="H13">
        <v>2005</v>
      </c>
      <c r="I13" t="s">
        <v>1</v>
      </c>
      <c r="J13" t="s">
        <v>2</v>
      </c>
      <c r="K13" t="s">
        <v>189</v>
      </c>
      <c r="L13" t="s">
        <v>190</v>
      </c>
      <c r="M13" t="s">
        <v>191</v>
      </c>
      <c r="N13" t="s">
        <v>181</v>
      </c>
      <c r="O13" t="s">
        <v>192</v>
      </c>
      <c r="P13" t="s">
        <v>5</v>
      </c>
      <c r="Q13" t="s">
        <v>6</v>
      </c>
      <c r="R13" t="s">
        <v>337</v>
      </c>
      <c r="S13" t="s">
        <v>8</v>
      </c>
      <c r="T13" t="s">
        <v>338</v>
      </c>
      <c r="U13">
        <f>Sales_Order[[#This Row],[Quantity ordered]]*Sales_Order[[#This Row],[Price each]]</f>
        <v>3207.12</v>
      </c>
    </row>
    <row r="14" spans="1:21" x14ac:dyDescent="0.3">
      <c r="A14">
        <v>10140</v>
      </c>
      <c r="B14">
        <v>37</v>
      </c>
      <c r="C14">
        <v>100</v>
      </c>
      <c r="D14">
        <v>11</v>
      </c>
      <c r="E14" s="1">
        <v>37826</v>
      </c>
      <c r="F14" t="s">
        <v>0</v>
      </c>
      <c r="G14">
        <v>3</v>
      </c>
      <c r="H14">
        <v>2003</v>
      </c>
      <c r="I14" t="s">
        <v>22</v>
      </c>
      <c r="J14" t="s">
        <v>23</v>
      </c>
      <c r="K14" t="s">
        <v>163</v>
      </c>
      <c r="L14" t="s">
        <v>164</v>
      </c>
      <c r="M14" t="s">
        <v>165</v>
      </c>
      <c r="N14" t="s">
        <v>161</v>
      </c>
      <c r="O14" t="s">
        <v>166</v>
      </c>
      <c r="P14" t="s">
        <v>5</v>
      </c>
      <c r="Q14" t="s">
        <v>6</v>
      </c>
      <c r="R14" t="s">
        <v>323</v>
      </c>
      <c r="S14" t="s">
        <v>17</v>
      </c>
      <c r="T14" t="s">
        <v>339</v>
      </c>
      <c r="U14">
        <f>Sales_Order[[#This Row],[Quantity ordered]]*Sales_Order[[#This Row],[Price each]]</f>
        <v>3700</v>
      </c>
    </row>
    <row r="15" spans="1:21" x14ac:dyDescent="0.3">
      <c r="A15">
        <v>10163</v>
      </c>
      <c r="B15">
        <v>21</v>
      </c>
      <c r="C15">
        <v>100</v>
      </c>
      <c r="D15">
        <v>1</v>
      </c>
      <c r="E15" s="1">
        <v>37914</v>
      </c>
      <c r="F15" t="s">
        <v>0</v>
      </c>
      <c r="G15">
        <v>4</v>
      </c>
      <c r="H15">
        <v>2003</v>
      </c>
      <c r="I15" t="s">
        <v>22</v>
      </c>
      <c r="J15" t="s">
        <v>23</v>
      </c>
      <c r="K15" t="s">
        <v>24</v>
      </c>
      <c r="L15" t="s">
        <v>25</v>
      </c>
      <c r="M15" t="s">
        <v>3</v>
      </c>
      <c r="N15" t="s">
        <v>4</v>
      </c>
      <c r="O15" t="s">
        <v>135</v>
      </c>
      <c r="P15" t="s">
        <v>5</v>
      </c>
      <c r="Q15" t="s">
        <v>6</v>
      </c>
      <c r="R15" t="s">
        <v>340</v>
      </c>
      <c r="S15" t="s">
        <v>8</v>
      </c>
      <c r="T15" t="s">
        <v>324</v>
      </c>
      <c r="U15">
        <f>Sales_Order[[#This Row],[Quantity ordered]]*Sales_Order[[#This Row],[Price each]]</f>
        <v>2100</v>
      </c>
    </row>
    <row r="16" spans="1:21" x14ac:dyDescent="0.3">
      <c r="A16">
        <v>10174</v>
      </c>
      <c r="B16">
        <v>34</v>
      </c>
      <c r="C16">
        <v>100</v>
      </c>
      <c r="D16">
        <v>4</v>
      </c>
      <c r="E16" s="1">
        <v>37783</v>
      </c>
      <c r="F16" t="s">
        <v>0</v>
      </c>
      <c r="G16">
        <v>4</v>
      </c>
      <c r="H16">
        <v>2003</v>
      </c>
      <c r="I16" t="s">
        <v>22</v>
      </c>
      <c r="J16" t="s">
        <v>23</v>
      </c>
      <c r="K16" t="s">
        <v>196</v>
      </c>
      <c r="L16" t="s">
        <v>197</v>
      </c>
      <c r="M16" t="s">
        <v>198</v>
      </c>
      <c r="N16" t="s">
        <v>199</v>
      </c>
      <c r="O16" t="s">
        <v>200</v>
      </c>
      <c r="P16" t="s">
        <v>13</v>
      </c>
      <c r="Q16" t="s">
        <v>14</v>
      </c>
      <c r="R16" t="s">
        <v>341</v>
      </c>
      <c r="S16" t="s">
        <v>17</v>
      </c>
      <c r="T16" t="s">
        <v>334</v>
      </c>
      <c r="U16">
        <f>Sales_Order[[#This Row],[Quantity ordered]]*Sales_Order[[#This Row],[Price each]]</f>
        <v>3400</v>
      </c>
    </row>
    <row r="17" spans="1:21" x14ac:dyDescent="0.3">
      <c r="A17">
        <v>10183</v>
      </c>
      <c r="B17">
        <v>23</v>
      </c>
      <c r="C17">
        <v>100</v>
      </c>
      <c r="D17">
        <v>8</v>
      </c>
      <c r="E17" s="1">
        <v>37938</v>
      </c>
      <c r="F17" t="s">
        <v>0</v>
      </c>
      <c r="G17">
        <v>4</v>
      </c>
      <c r="H17">
        <v>2003</v>
      </c>
      <c r="I17" t="s">
        <v>22</v>
      </c>
      <c r="J17" t="s">
        <v>23</v>
      </c>
      <c r="K17" t="s">
        <v>201</v>
      </c>
      <c r="L17" t="s">
        <v>202</v>
      </c>
      <c r="M17" t="s">
        <v>203</v>
      </c>
      <c r="N17" t="s">
        <v>186</v>
      </c>
      <c r="O17" t="s">
        <v>204</v>
      </c>
      <c r="P17" t="s">
        <v>5</v>
      </c>
      <c r="Q17" t="s">
        <v>6</v>
      </c>
      <c r="R17" t="s">
        <v>342</v>
      </c>
      <c r="S17" t="s">
        <v>8</v>
      </c>
      <c r="T17" t="s">
        <v>334</v>
      </c>
      <c r="U17">
        <f>Sales_Order[[#This Row],[Quantity ordered]]*Sales_Order[[#This Row],[Price each]]</f>
        <v>2300</v>
      </c>
    </row>
    <row r="18" spans="1:21" x14ac:dyDescent="0.3">
      <c r="A18">
        <v>10206</v>
      </c>
      <c r="B18">
        <v>47</v>
      </c>
      <c r="C18">
        <v>100</v>
      </c>
      <c r="D18">
        <v>6</v>
      </c>
      <c r="E18" s="1">
        <v>37753</v>
      </c>
      <c r="F18" t="s">
        <v>0</v>
      </c>
      <c r="G18">
        <v>4</v>
      </c>
      <c r="H18">
        <v>2003</v>
      </c>
      <c r="I18" t="s">
        <v>22</v>
      </c>
      <c r="J18" t="s">
        <v>23</v>
      </c>
      <c r="K18" t="s">
        <v>205</v>
      </c>
      <c r="L18" t="s">
        <v>206</v>
      </c>
      <c r="M18" t="s">
        <v>207</v>
      </c>
      <c r="N18" t="s">
        <v>208</v>
      </c>
      <c r="O18" t="s">
        <v>209</v>
      </c>
      <c r="P18" t="s">
        <v>210</v>
      </c>
      <c r="Q18" t="s">
        <v>6</v>
      </c>
      <c r="R18" t="s">
        <v>343</v>
      </c>
      <c r="S18" t="s">
        <v>17</v>
      </c>
      <c r="T18" t="s">
        <v>336</v>
      </c>
      <c r="U18">
        <f>Sales_Order[[#This Row],[Quantity ordered]]*Sales_Order[[#This Row],[Price each]]</f>
        <v>4700</v>
      </c>
    </row>
    <row r="19" spans="1:21" x14ac:dyDescent="0.3">
      <c r="A19">
        <v>10215</v>
      </c>
      <c r="B19">
        <v>35</v>
      </c>
      <c r="C19">
        <v>100</v>
      </c>
      <c r="D19">
        <v>3</v>
      </c>
      <c r="E19" s="1">
        <v>38015</v>
      </c>
      <c r="F19" t="s">
        <v>0</v>
      </c>
      <c r="G19">
        <v>1</v>
      </c>
      <c r="H19">
        <v>2004</v>
      </c>
      <c r="I19" t="s">
        <v>22</v>
      </c>
      <c r="J19" t="s">
        <v>23</v>
      </c>
      <c r="K19" t="s">
        <v>211</v>
      </c>
      <c r="L19" t="s">
        <v>212</v>
      </c>
      <c r="M19" t="s">
        <v>213</v>
      </c>
      <c r="N19" t="s">
        <v>161</v>
      </c>
      <c r="O19" t="s">
        <v>172</v>
      </c>
      <c r="P19" t="s">
        <v>5</v>
      </c>
      <c r="Q19" t="s">
        <v>6</v>
      </c>
      <c r="R19" t="s">
        <v>344</v>
      </c>
      <c r="S19" t="s">
        <v>8</v>
      </c>
      <c r="T19" t="s">
        <v>345</v>
      </c>
      <c r="U19">
        <f>Sales_Order[[#This Row],[Quantity ordered]]*Sales_Order[[#This Row],[Price each]]</f>
        <v>3500</v>
      </c>
    </row>
    <row r="20" spans="1:21" x14ac:dyDescent="0.3">
      <c r="A20">
        <v>10228</v>
      </c>
      <c r="B20">
        <v>29</v>
      </c>
      <c r="C20">
        <v>100</v>
      </c>
      <c r="D20">
        <v>2</v>
      </c>
      <c r="E20" s="1">
        <v>38263</v>
      </c>
      <c r="F20" t="s">
        <v>0</v>
      </c>
      <c r="G20">
        <v>1</v>
      </c>
      <c r="H20">
        <v>2004</v>
      </c>
      <c r="I20" t="s">
        <v>22</v>
      </c>
      <c r="J20" t="s">
        <v>23</v>
      </c>
      <c r="K20" t="s">
        <v>214</v>
      </c>
      <c r="L20" t="s">
        <v>215</v>
      </c>
      <c r="M20" t="s">
        <v>180</v>
      </c>
      <c r="N20" t="s">
        <v>181</v>
      </c>
      <c r="O20" t="s">
        <v>182</v>
      </c>
      <c r="P20" t="s">
        <v>5</v>
      </c>
      <c r="Q20" t="s">
        <v>6</v>
      </c>
      <c r="R20" t="s">
        <v>346</v>
      </c>
      <c r="S20" t="s">
        <v>8</v>
      </c>
      <c r="T20" t="s">
        <v>338</v>
      </c>
      <c r="U20">
        <f>Sales_Order[[#This Row],[Quantity ordered]]*Sales_Order[[#This Row],[Price each]]</f>
        <v>2900</v>
      </c>
    </row>
    <row r="21" spans="1:21" x14ac:dyDescent="0.3">
      <c r="A21">
        <v>10245</v>
      </c>
      <c r="B21">
        <v>34</v>
      </c>
      <c r="C21">
        <v>100</v>
      </c>
      <c r="D21">
        <v>9</v>
      </c>
      <c r="E21" s="1">
        <v>38082</v>
      </c>
      <c r="F21" t="s">
        <v>0</v>
      </c>
      <c r="G21">
        <v>2</v>
      </c>
      <c r="H21">
        <v>2004</v>
      </c>
      <c r="I21" t="s">
        <v>22</v>
      </c>
      <c r="J21" t="s">
        <v>23</v>
      </c>
      <c r="K21" t="s">
        <v>216</v>
      </c>
      <c r="L21" t="s">
        <v>217</v>
      </c>
      <c r="M21" t="s">
        <v>218</v>
      </c>
      <c r="N21" t="s">
        <v>176</v>
      </c>
      <c r="O21" t="s">
        <v>219</v>
      </c>
      <c r="P21" t="s">
        <v>5</v>
      </c>
      <c r="Q21" t="s">
        <v>6</v>
      </c>
      <c r="R21" t="s">
        <v>347</v>
      </c>
      <c r="S21" t="s">
        <v>8</v>
      </c>
      <c r="T21" t="s">
        <v>329</v>
      </c>
      <c r="U21">
        <f>Sales_Order[[#This Row],[Quantity ordered]]*Sales_Order[[#This Row],[Price each]]</f>
        <v>3400</v>
      </c>
    </row>
    <row r="22" spans="1:21" x14ac:dyDescent="0.3">
      <c r="A22">
        <v>10258</v>
      </c>
      <c r="B22">
        <v>32</v>
      </c>
      <c r="C22">
        <v>100</v>
      </c>
      <c r="D22">
        <v>6</v>
      </c>
      <c r="E22" s="1">
        <v>38153</v>
      </c>
      <c r="F22" t="s">
        <v>0</v>
      </c>
      <c r="G22">
        <v>2</v>
      </c>
      <c r="H22">
        <v>2004</v>
      </c>
      <c r="I22" t="s">
        <v>22</v>
      </c>
      <c r="J22" t="s">
        <v>23</v>
      </c>
      <c r="K22" t="s">
        <v>220</v>
      </c>
      <c r="L22" t="s">
        <v>221</v>
      </c>
      <c r="M22" t="s">
        <v>222</v>
      </c>
      <c r="N22" t="s">
        <v>223</v>
      </c>
      <c r="O22" t="s">
        <v>224</v>
      </c>
      <c r="P22" t="s">
        <v>195</v>
      </c>
      <c r="Q22" t="s">
        <v>195</v>
      </c>
      <c r="R22" t="s">
        <v>348</v>
      </c>
      <c r="S22" t="s">
        <v>17</v>
      </c>
      <c r="T22" t="s">
        <v>331</v>
      </c>
      <c r="U22">
        <f>Sales_Order[[#This Row],[Quantity ordered]]*Sales_Order[[#This Row],[Price each]]</f>
        <v>3200</v>
      </c>
    </row>
    <row r="23" spans="1:21" x14ac:dyDescent="0.3">
      <c r="A23">
        <v>10270</v>
      </c>
      <c r="B23">
        <v>21</v>
      </c>
      <c r="C23">
        <v>100</v>
      </c>
      <c r="D23">
        <v>9</v>
      </c>
      <c r="E23" s="1">
        <v>38187</v>
      </c>
      <c r="F23" t="s">
        <v>0</v>
      </c>
      <c r="G23">
        <v>3</v>
      </c>
      <c r="H23">
        <v>2004</v>
      </c>
      <c r="I23" t="s">
        <v>22</v>
      </c>
      <c r="J23" t="s">
        <v>23</v>
      </c>
      <c r="K23" t="s">
        <v>18</v>
      </c>
      <c r="L23" t="s">
        <v>19</v>
      </c>
      <c r="M23" t="s">
        <v>20</v>
      </c>
      <c r="N23" t="s">
        <v>21</v>
      </c>
      <c r="O23" t="s">
        <v>136</v>
      </c>
      <c r="P23" t="s">
        <v>13</v>
      </c>
      <c r="Q23" t="s">
        <v>14</v>
      </c>
      <c r="R23" t="s">
        <v>335</v>
      </c>
      <c r="S23" t="s">
        <v>8</v>
      </c>
      <c r="T23" t="s">
        <v>339</v>
      </c>
      <c r="U23">
        <f>Sales_Order[[#This Row],[Quantity ordered]]*Sales_Order[[#This Row],[Price each]]</f>
        <v>2100</v>
      </c>
    </row>
    <row r="24" spans="1:21" x14ac:dyDescent="0.3">
      <c r="A24">
        <v>10312</v>
      </c>
      <c r="B24">
        <v>48</v>
      </c>
      <c r="C24">
        <v>100</v>
      </c>
      <c r="D24">
        <v>3</v>
      </c>
      <c r="E24" s="1">
        <v>38281</v>
      </c>
      <c r="F24" t="s">
        <v>0</v>
      </c>
      <c r="G24">
        <v>4</v>
      </c>
      <c r="H24">
        <v>2004</v>
      </c>
      <c r="I24" t="s">
        <v>22</v>
      </c>
      <c r="J24" t="s">
        <v>23</v>
      </c>
      <c r="K24" t="s">
        <v>225</v>
      </c>
      <c r="L24" t="s">
        <v>226</v>
      </c>
      <c r="M24" t="s">
        <v>227</v>
      </c>
      <c r="N24" t="s">
        <v>161</v>
      </c>
      <c r="O24" t="s">
        <v>177</v>
      </c>
      <c r="P24" t="s">
        <v>5</v>
      </c>
      <c r="Q24" t="s">
        <v>6</v>
      </c>
      <c r="R24" t="s">
        <v>349</v>
      </c>
      <c r="S24" t="s">
        <v>17</v>
      </c>
      <c r="T24" t="s">
        <v>324</v>
      </c>
      <c r="U24">
        <f>Sales_Order[[#This Row],[Quantity ordered]]*Sales_Order[[#This Row],[Price each]]</f>
        <v>4800</v>
      </c>
    </row>
    <row r="25" spans="1:21" x14ac:dyDescent="0.3">
      <c r="A25">
        <v>10322</v>
      </c>
      <c r="B25">
        <v>40</v>
      </c>
      <c r="C25">
        <v>100</v>
      </c>
      <c r="D25">
        <v>1</v>
      </c>
      <c r="E25" s="1">
        <v>38088</v>
      </c>
      <c r="F25" t="s">
        <v>0</v>
      </c>
      <c r="G25">
        <v>4</v>
      </c>
      <c r="H25">
        <v>2004</v>
      </c>
      <c r="I25" t="s">
        <v>22</v>
      </c>
      <c r="J25" t="s">
        <v>23</v>
      </c>
      <c r="K25" t="s">
        <v>228</v>
      </c>
      <c r="L25" t="s">
        <v>229</v>
      </c>
      <c r="M25" t="s">
        <v>230</v>
      </c>
      <c r="N25" t="s">
        <v>231</v>
      </c>
      <c r="O25" t="s">
        <v>232</v>
      </c>
      <c r="P25" t="s">
        <v>5</v>
      </c>
      <c r="Q25" t="s">
        <v>6</v>
      </c>
      <c r="R25" t="s">
        <v>350</v>
      </c>
      <c r="S25" t="s">
        <v>8</v>
      </c>
      <c r="T25" t="s">
        <v>334</v>
      </c>
      <c r="U25">
        <f>Sales_Order[[#This Row],[Quantity ordered]]*Sales_Order[[#This Row],[Price each]]</f>
        <v>4000</v>
      </c>
    </row>
    <row r="26" spans="1:21" x14ac:dyDescent="0.3">
      <c r="A26">
        <v>10347</v>
      </c>
      <c r="B26">
        <v>30</v>
      </c>
      <c r="C26">
        <v>100</v>
      </c>
      <c r="D26">
        <v>1</v>
      </c>
      <c r="E26" s="1">
        <v>38320</v>
      </c>
      <c r="F26" t="s">
        <v>0</v>
      </c>
      <c r="G26">
        <v>4</v>
      </c>
      <c r="H26">
        <v>2004</v>
      </c>
      <c r="I26" t="s">
        <v>22</v>
      </c>
      <c r="J26" t="s">
        <v>23</v>
      </c>
      <c r="K26" t="s">
        <v>9</v>
      </c>
      <c r="L26" t="s">
        <v>10</v>
      </c>
      <c r="M26" t="s">
        <v>11</v>
      </c>
      <c r="N26" t="s">
        <v>12</v>
      </c>
      <c r="O26" t="s">
        <v>134</v>
      </c>
      <c r="P26" t="s">
        <v>13</v>
      </c>
      <c r="Q26" t="s">
        <v>14</v>
      </c>
      <c r="R26" t="s">
        <v>325</v>
      </c>
      <c r="S26" t="s">
        <v>8</v>
      </c>
      <c r="T26" t="s">
        <v>334</v>
      </c>
      <c r="U26">
        <f>Sales_Order[[#This Row],[Quantity ordered]]*Sales_Order[[#This Row],[Price each]]</f>
        <v>3000</v>
      </c>
    </row>
    <row r="27" spans="1:21" x14ac:dyDescent="0.3">
      <c r="A27">
        <v>10357</v>
      </c>
      <c r="B27">
        <v>32</v>
      </c>
      <c r="C27">
        <v>100</v>
      </c>
      <c r="D27">
        <v>10</v>
      </c>
      <c r="E27" s="1">
        <v>38272</v>
      </c>
      <c r="F27" t="s">
        <v>0</v>
      </c>
      <c r="G27">
        <v>4</v>
      </c>
      <c r="H27">
        <v>2004</v>
      </c>
      <c r="I27" t="s">
        <v>22</v>
      </c>
      <c r="J27" t="s">
        <v>23</v>
      </c>
      <c r="K27" t="s">
        <v>225</v>
      </c>
      <c r="L27" t="s">
        <v>226</v>
      </c>
      <c r="M27" t="s">
        <v>227</v>
      </c>
      <c r="N27" t="s">
        <v>161</v>
      </c>
      <c r="O27" t="s">
        <v>177</v>
      </c>
      <c r="P27" t="s">
        <v>5</v>
      </c>
      <c r="Q27" t="s">
        <v>6</v>
      </c>
      <c r="R27" t="s">
        <v>349</v>
      </c>
      <c r="S27" t="s">
        <v>8</v>
      </c>
      <c r="T27" t="s">
        <v>336</v>
      </c>
      <c r="U27">
        <f>Sales_Order[[#This Row],[Quantity ordered]]*Sales_Order[[#This Row],[Price each]]</f>
        <v>3200</v>
      </c>
    </row>
    <row r="28" spans="1:21" x14ac:dyDescent="0.3">
      <c r="A28">
        <v>10369</v>
      </c>
      <c r="B28">
        <v>41</v>
      </c>
      <c r="C28">
        <v>100</v>
      </c>
      <c r="D28">
        <v>2</v>
      </c>
      <c r="E28" s="1">
        <v>38372</v>
      </c>
      <c r="F28" t="s">
        <v>0</v>
      </c>
      <c r="G28">
        <v>1</v>
      </c>
      <c r="H28">
        <v>2005</v>
      </c>
      <c r="I28" t="s">
        <v>22</v>
      </c>
      <c r="J28" t="s">
        <v>23</v>
      </c>
      <c r="K28" t="s">
        <v>233</v>
      </c>
      <c r="L28" t="s">
        <v>234</v>
      </c>
      <c r="M28" t="s">
        <v>235</v>
      </c>
      <c r="N28" t="s">
        <v>181</v>
      </c>
      <c r="O28" t="s">
        <v>236</v>
      </c>
      <c r="P28" t="s">
        <v>5</v>
      </c>
      <c r="Q28" t="s">
        <v>6</v>
      </c>
      <c r="R28" t="s">
        <v>351</v>
      </c>
      <c r="S28" t="s">
        <v>8</v>
      </c>
      <c r="T28" t="s">
        <v>345</v>
      </c>
      <c r="U28">
        <f>Sales_Order[[#This Row],[Quantity ordered]]*Sales_Order[[#This Row],[Price each]]</f>
        <v>4100</v>
      </c>
    </row>
    <row r="29" spans="1:21" x14ac:dyDescent="0.3">
      <c r="A29">
        <v>10391</v>
      </c>
      <c r="B29">
        <v>24</v>
      </c>
      <c r="C29">
        <v>100</v>
      </c>
      <c r="D29">
        <v>4</v>
      </c>
      <c r="E29" s="1">
        <v>38598</v>
      </c>
      <c r="F29" t="s">
        <v>0</v>
      </c>
      <c r="G29">
        <v>1</v>
      </c>
      <c r="H29">
        <v>2005</v>
      </c>
      <c r="I29" t="s">
        <v>22</v>
      </c>
      <c r="J29" t="s">
        <v>23</v>
      </c>
      <c r="K29" t="s">
        <v>26</v>
      </c>
      <c r="L29" t="s">
        <v>27</v>
      </c>
      <c r="M29" t="s">
        <v>28</v>
      </c>
      <c r="N29" t="s">
        <v>21</v>
      </c>
      <c r="O29" t="s">
        <v>137</v>
      </c>
      <c r="P29" t="s">
        <v>13</v>
      </c>
      <c r="Q29" t="s">
        <v>14</v>
      </c>
      <c r="R29" t="s">
        <v>352</v>
      </c>
      <c r="S29" t="s">
        <v>7</v>
      </c>
      <c r="T29" t="s">
        <v>338</v>
      </c>
      <c r="U29">
        <f>Sales_Order[[#This Row],[Quantity ordered]]*Sales_Order[[#This Row],[Price each]]</f>
        <v>2400</v>
      </c>
    </row>
    <row r="30" spans="1:21" x14ac:dyDescent="0.3">
      <c r="A30">
        <v>10411</v>
      </c>
      <c r="B30">
        <v>23</v>
      </c>
      <c r="C30">
        <v>100</v>
      </c>
      <c r="D30">
        <v>9</v>
      </c>
      <c r="E30" s="1">
        <v>38357</v>
      </c>
      <c r="F30" t="s">
        <v>0</v>
      </c>
      <c r="G30">
        <v>2</v>
      </c>
      <c r="H30">
        <v>2005</v>
      </c>
      <c r="I30" t="s">
        <v>22</v>
      </c>
      <c r="J30" t="s">
        <v>23</v>
      </c>
      <c r="K30" t="s">
        <v>237</v>
      </c>
      <c r="L30" t="s">
        <v>238</v>
      </c>
      <c r="M30" t="s">
        <v>239</v>
      </c>
      <c r="N30" t="s">
        <v>240</v>
      </c>
      <c r="O30" t="s">
        <v>241</v>
      </c>
      <c r="P30" t="s">
        <v>210</v>
      </c>
      <c r="Q30" t="s">
        <v>6</v>
      </c>
      <c r="R30" t="s">
        <v>353</v>
      </c>
      <c r="S30" t="s">
        <v>8</v>
      </c>
      <c r="T30" t="s">
        <v>329</v>
      </c>
      <c r="U30">
        <f>Sales_Order[[#This Row],[Quantity ordered]]*Sales_Order[[#This Row],[Price each]]</f>
        <v>2300</v>
      </c>
    </row>
    <row r="31" spans="1:21" x14ac:dyDescent="0.3">
      <c r="A31">
        <v>10107</v>
      </c>
      <c r="B31">
        <v>39</v>
      </c>
      <c r="C31">
        <v>99.91</v>
      </c>
      <c r="D31">
        <v>5</v>
      </c>
      <c r="E31" s="1">
        <v>37676</v>
      </c>
      <c r="F31" t="s">
        <v>0</v>
      </c>
      <c r="G31">
        <v>1</v>
      </c>
      <c r="H31">
        <v>2003</v>
      </c>
      <c r="I31" t="s">
        <v>1</v>
      </c>
      <c r="J31" t="s">
        <v>30</v>
      </c>
      <c r="K31" t="s">
        <v>155</v>
      </c>
      <c r="L31" t="s">
        <v>156</v>
      </c>
      <c r="M31" t="s">
        <v>3</v>
      </c>
      <c r="N31" t="s">
        <v>4</v>
      </c>
      <c r="O31" t="s">
        <v>135</v>
      </c>
      <c r="P31" t="s">
        <v>5</v>
      </c>
      <c r="Q31" t="s">
        <v>6</v>
      </c>
      <c r="R31" t="s">
        <v>319</v>
      </c>
      <c r="S31" t="s">
        <v>8</v>
      </c>
      <c r="T31" t="s">
        <v>320</v>
      </c>
      <c r="U31">
        <f>Sales_Order[[#This Row],[Quantity ordered]]*Sales_Order[[#This Row],[Price each]]</f>
        <v>3896.49</v>
      </c>
    </row>
    <row r="32" spans="1:21" x14ac:dyDescent="0.3">
      <c r="A32">
        <v>10120</v>
      </c>
      <c r="B32">
        <v>29</v>
      </c>
      <c r="C32">
        <v>96.34</v>
      </c>
      <c r="D32">
        <v>3</v>
      </c>
      <c r="E32" s="1">
        <v>37740</v>
      </c>
      <c r="F32" t="s">
        <v>0</v>
      </c>
      <c r="G32">
        <v>2</v>
      </c>
      <c r="H32">
        <v>2003</v>
      </c>
      <c r="I32" t="s">
        <v>1</v>
      </c>
      <c r="J32" t="s">
        <v>30</v>
      </c>
      <c r="K32" t="s">
        <v>9</v>
      </c>
      <c r="L32" t="s">
        <v>10</v>
      </c>
      <c r="M32" t="s">
        <v>11</v>
      </c>
      <c r="N32" t="s">
        <v>12</v>
      </c>
      <c r="O32" t="s">
        <v>134</v>
      </c>
      <c r="P32" t="s">
        <v>13</v>
      </c>
      <c r="Q32" t="s">
        <v>14</v>
      </c>
      <c r="R32" t="s">
        <v>325</v>
      </c>
      <c r="S32" t="s">
        <v>7</v>
      </c>
      <c r="T32" t="s">
        <v>327</v>
      </c>
      <c r="U32">
        <f>Sales_Order[[#This Row],[Quantity ordered]]*Sales_Order[[#This Row],[Price each]]</f>
        <v>2793.86</v>
      </c>
    </row>
    <row r="33" spans="1:21" x14ac:dyDescent="0.3">
      <c r="A33">
        <v>10145</v>
      </c>
      <c r="B33">
        <v>37</v>
      </c>
      <c r="C33">
        <v>100</v>
      </c>
      <c r="D33">
        <v>9</v>
      </c>
      <c r="E33" s="1">
        <v>37858</v>
      </c>
      <c r="F33" t="s">
        <v>0</v>
      </c>
      <c r="G33">
        <v>3</v>
      </c>
      <c r="H33">
        <v>2003</v>
      </c>
      <c r="I33" t="s">
        <v>1</v>
      </c>
      <c r="J33" t="s">
        <v>30</v>
      </c>
      <c r="K33" t="s">
        <v>158</v>
      </c>
      <c r="L33" t="s">
        <v>159</v>
      </c>
      <c r="M33" t="s">
        <v>160</v>
      </c>
      <c r="N33" t="s">
        <v>161</v>
      </c>
      <c r="O33" t="s">
        <v>162</v>
      </c>
      <c r="P33" t="s">
        <v>5</v>
      </c>
      <c r="Q33" t="s">
        <v>6</v>
      </c>
      <c r="R33" t="s">
        <v>321</v>
      </c>
      <c r="S33" t="s">
        <v>8</v>
      </c>
      <c r="T33" t="s">
        <v>322</v>
      </c>
      <c r="U33">
        <f>Sales_Order[[#This Row],[Quantity ordered]]*Sales_Order[[#This Row],[Price each]]</f>
        <v>3700</v>
      </c>
    </row>
    <row r="34" spans="1:21" x14ac:dyDescent="0.3">
      <c r="A34">
        <v>10168</v>
      </c>
      <c r="B34">
        <v>27</v>
      </c>
      <c r="C34">
        <v>100</v>
      </c>
      <c r="D34">
        <v>4</v>
      </c>
      <c r="E34" s="1">
        <v>37922</v>
      </c>
      <c r="F34" t="s">
        <v>0</v>
      </c>
      <c r="G34">
        <v>4</v>
      </c>
      <c r="H34">
        <v>2003</v>
      </c>
      <c r="I34" t="s">
        <v>1</v>
      </c>
      <c r="J34" t="s">
        <v>30</v>
      </c>
      <c r="K34" t="s">
        <v>163</v>
      </c>
      <c r="L34" t="s">
        <v>164</v>
      </c>
      <c r="M34" t="s">
        <v>165</v>
      </c>
      <c r="N34" t="s">
        <v>161</v>
      </c>
      <c r="O34" t="s">
        <v>166</v>
      </c>
      <c r="P34" t="s">
        <v>5</v>
      </c>
      <c r="Q34" t="s">
        <v>6</v>
      </c>
      <c r="R34" t="s">
        <v>323</v>
      </c>
      <c r="S34" t="s">
        <v>8</v>
      </c>
      <c r="T34" t="s">
        <v>324</v>
      </c>
      <c r="U34">
        <f>Sales_Order[[#This Row],[Quantity ordered]]*Sales_Order[[#This Row],[Price each]]</f>
        <v>2700</v>
      </c>
    </row>
    <row r="35" spans="1:21" x14ac:dyDescent="0.3">
      <c r="A35">
        <v>10210</v>
      </c>
      <c r="B35">
        <v>23</v>
      </c>
      <c r="C35">
        <v>100</v>
      </c>
      <c r="D35">
        <v>2</v>
      </c>
      <c r="E35" s="1">
        <v>38322</v>
      </c>
      <c r="F35" t="s">
        <v>0</v>
      </c>
      <c r="G35">
        <v>1</v>
      </c>
      <c r="H35">
        <v>2004</v>
      </c>
      <c r="I35" t="s">
        <v>1</v>
      </c>
      <c r="J35" t="s">
        <v>30</v>
      </c>
      <c r="K35" t="s">
        <v>242</v>
      </c>
      <c r="L35" t="s">
        <v>243</v>
      </c>
      <c r="M35" t="s">
        <v>244</v>
      </c>
      <c r="N35" t="s">
        <v>244</v>
      </c>
      <c r="O35" t="s">
        <v>245</v>
      </c>
      <c r="P35" t="s">
        <v>195</v>
      </c>
      <c r="Q35" t="s">
        <v>195</v>
      </c>
      <c r="R35" t="s">
        <v>354</v>
      </c>
      <c r="S35" t="s">
        <v>8</v>
      </c>
      <c r="T35" t="s">
        <v>345</v>
      </c>
      <c r="U35">
        <f>Sales_Order[[#This Row],[Quantity ordered]]*Sales_Order[[#This Row],[Price each]]</f>
        <v>2300</v>
      </c>
    </row>
    <row r="36" spans="1:21" x14ac:dyDescent="0.3">
      <c r="A36">
        <v>10223</v>
      </c>
      <c r="B36">
        <v>47</v>
      </c>
      <c r="C36">
        <v>100</v>
      </c>
      <c r="D36">
        <v>4</v>
      </c>
      <c r="E36" s="1">
        <v>38037</v>
      </c>
      <c r="F36" t="s">
        <v>0</v>
      </c>
      <c r="G36">
        <v>1</v>
      </c>
      <c r="H36">
        <v>2004</v>
      </c>
      <c r="I36" t="s">
        <v>1</v>
      </c>
      <c r="J36" t="s">
        <v>30</v>
      </c>
      <c r="K36" t="s">
        <v>9</v>
      </c>
      <c r="L36" t="s">
        <v>10</v>
      </c>
      <c r="M36" t="s">
        <v>11</v>
      </c>
      <c r="N36" t="s">
        <v>12</v>
      </c>
      <c r="O36" t="s">
        <v>134</v>
      </c>
      <c r="P36" t="s">
        <v>13</v>
      </c>
      <c r="Q36" t="s">
        <v>14</v>
      </c>
      <c r="R36" t="s">
        <v>325</v>
      </c>
      <c r="S36" t="s">
        <v>8</v>
      </c>
      <c r="T36" t="s">
        <v>320</v>
      </c>
      <c r="U36">
        <f>Sales_Order[[#This Row],[Quantity ordered]]*Sales_Order[[#This Row],[Price each]]</f>
        <v>4700</v>
      </c>
    </row>
    <row r="37" spans="1:21" x14ac:dyDescent="0.3">
      <c r="A37">
        <v>10236</v>
      </c>
      <c r="B37">
        <v>22</v>
      </c>
      <c r="C37">
        <v>100</v>
      </c>
      <c r="D37">
        <v>1</v>
      </c>
      <c r="E37" s="1">
        <v>38050</v>
      </c>
      <c r="F37" t="s">
        <v>0</v>
      </c>
      <c r="G37">
        <v>2</v>
      </c>
      <c r="H37">
        <v>2004</v>
      </c>
      <c r="I37" t="s">
        <v>1</v>
      </c>
      <c r="J37" t="s">
        <v>30</v>
      </c>
      <c r="K37" t="s">
        <v>246</v>
      </c>
      <c r="L37" t="s">
        <v>247</v>
      </c>
      <c r="M37" t="s">
        <v>203</v>
      </c>
      <c r="N37" t="s">
        <v>186</v>
      </c>
      <c r="O37" t="s">
        <v>204</v>
      </c>
      <c r="P37" t="s">
        <v>5</v>
      </c>
      <c r="Q37" t="s">
        <v>6</v>
      </c>
      <c r="R37" t="s">
        <v>355</v>
      </c>
      <c r="S37" t="s">
        <v>7</v>
      </c>
      <c r="T37" t="s">
        <v>327</v>
      </c>
      <c r="U37">
        <f>Sales_Order[[#This Row],[Quantity ordered]]*Sales_Order[[#This Row],[Price each]]</f>
        <v>2200</v>
      </c>
    </row>
    <row r="38" spans="1:21" x14ac:dyDescent="0.3">
      <c r="A38">
        <v>10251</v>
      </c>
      <c r="B38">
        <v>44</v>
      </c>
      <c r="C38">
        <v>100</v>
      </c>
      <c r="D38">
        <v>5</v>
      </c>
      <c r="E38" s="1">
        <v>38125</v>
      </c>
      <c r="F38" t="s">
        <v>0</v>
      </c>
      <c r="G38">
        <v>2</v>
      </c>
      <c r="H38">
        <v>2004</v>
      </c>
      <c r="I38" t="s">
        <v>1</v>
      </c>
      <c r="J38" t="s">
        <v>30</v>
      </c>
      <c r="K38" t="s">
        <v>168</v>
      </c>
      <c r="L38" t="s">
        <v>169</v>
      </c>
      <c r="M38" t="s">
        <v>170</v>
      </c>
      <c r="N38" t="s">
        <v>171</v>
      </c>
      <c r="O38" t="s">
        <v>172</v>
      </c>
      <c r="P38" t="s">
        <v>5</v>
      </c>
      <c r="Q38" t="s">
        <v>6</v>
      </c>
      <c r="R38" t="s">
        <v>328</v>
      </c>
      <c r="S38" t="s">
        <v>8</v>
      </c>
      <c r="T38" t="s">
        <v>329</v>
      </c>
      <c r="U38">
        <f>Sales_Order[[#This Row],[Quantity ordered]]*Sales_Order[[#This Row],[Price each]]</f>
        <v>4400</v>
      </c>
    </row>
    <row r="39" spans="1:21" x14ac:dyDescent="0.3">
      <c r="A39">
        <v>10263</v>
      </c>
      <c r="B39">
        <v>40</v>
      </c>
      <c r="C39">
        <v>100</v>
      </c>
      <c r="D39">
        <v>5</v>
      </c>
      <c r="E39" s="1">
        <v>38166</v>
      </c>
      <c r="F39" t="s">
        <v>0</v>
      </c>
      <c r="G39">
        <v>2</v>
      </c>
      <c r="H39">
        <v>2004</v>
      </c>
      <c r="I39" t="s">
        <v>1</v>
      </c>
      <c r="J39" t="s">
        <v>30</v>
      </c>
      <c r="K39" t="s">
        <v>173</v>
      </c>
      <c r="L39" t="s">
        <v>174</v>
      </c>
      <c r="M39" t="s">
        <v>175</v>
      </c>
      <c r="N39" t="s">
        <v>176</v>
      </c>
      <c r="O39" t="s">
        <v>177</v>
      </c>
      <c r="P39" t="s">
        <v>5</v>
      </c>
      <c r="Q39" t="s">
        <v>6</v>
      </c>
      <c r="R39" t="s">
        <v>330</v>
      </c>
      <c r="S39" t="s">
        <v>8</v>
      </c>
      <c r="T39" t="s">
        <v>331</v>
      </c>
      <c r="U39">
        <f>Sales_Order[[#This Row],[Quantity ordered]]*Sales_Order[[#This Row],[Price each]]</f>
        <v>4000</v>
      </c>
    </row>
    <row r="40" spans="1:21" x14ac:dyDescent="0.3">
      <c r="A40">
        <v>10285</v>
      </c>
      <c r="B40">
        <v>47</v>
      </c>
      <c r="C40">
        <v>100</v>
      </c>
      <c r="D40">
        <v>9</v>
      </c>
      <c r="E40" s="1">
        <v>38226</v>
      </c>
      <c r="F40" t="s">
        <v>0</v>
      </c>
      <c r="G40">
        <v>3</v>
      </c>
      <c r="H40">
        <v>2004</v>
      </c>
      <c r="I40" t="s">
        <v>1</v>
      </c>
      <c r="J40" t="s">
        <v>30</v>
      </c>
      <c r="K40" t="s">
        <v>178</v>
      </c>
      <c r="L40" t="s">
        <v>179</v>
      </c>
      <c r="M40" t="s">
        <v>180</v>
      </c>
      <c r="N40" t="s">
        <v>181</v>
      </c>
      <c r="O40" t="s">
        <v>182</v>
      </c>
      <c r="P40" t="s">
        <v>5</v>
      </c>
      <c r="Q40" t="s">
        <v>6</v>
      </c>
      <c r="R40" t="s">
        <v>332</v>
      </c>
      <c r="S40" t="s">
        <v>8</v>
      </c>
      <c r="T40" t="s">
        <v>322</v>
      </c>
      <c r="U40">
        <f>Sales_Order[[#This Row],[Quantity ordered]]*Sales_Order[[#This Row],[Price each]]</f>
        <v>4700</v>
      </c>
    </row>
    <row r="41" spans="1:21" x14ac:dyDescent="0.3">
      <c r="A41">
        <v>10308</v>
      </c>
      <c r="B41">
        <v>34</v>
      </c>
      <c r="C41">
        <v>100</v>
      </c>
      <c r="D41">
        <v>2</v>
      </c>
      <c r="E41" s="1">
        <v>38275</v>
      </c>
      <c r="F41" t="s">
        <v>0</v>
      </c>
      <c r="G41">
        <v>4</v>
      </c>
      <c r="H41">
        <v>2004</v>
      </c>
      <c r="I41" t="s">
        <v>1</v>
      </c>
      <c r="J41" t="s">
        <v>30</v>
      </c>
      <c r="K41" t="s">
        <v>248</v>
      </c>
      <c r="L41" t="s">
        <v>249</v>
      </c>
      <c r="M41" t="s">
        <v>250</v>
      </c>
      <c r="N41" t="s">
        <v>4</v>
      </c>
      <c r="O41" t="s">
        <v>251</v>
      </c>
      <c r="P41" t="s">
        <v>5</v>
      </c>
      <c r="Q41" t="s">
        <v>6</v>
      </c>
      <c r="R41" t="s">
        <v>356</v>
      </c>
      <c r="S41" t="s">
        <v>8</v>
      </c>
      <c r="T41" t="s">
        <v>324</v>
      </c>
      <c r="U41">
        <f>Sales_Order[[#This Row],[Quantity ordered]]*Sales_Order[[#This Row],[Price each]]</f>
        <v>3400</v>
      </c>
    </row>
    <row r="42" spans="1:21" x14ac:dyDescent="0.3">
      <c r="A42">
        <v>10318</v>
      </c>
      <c r="B42">
        <v>45</v>
      </c>
      <c r="C42">
        <v>100</v>
      </c>
      <c r="D42">
        <v>4</v>
      </c>
      <c r="E42" s="1">
        <v>38028</v>
      </c>
      <c r="F42" t="s">
        <v>0</v>
      </c>
      <c r="G42">
        <v>4</v>
      </c>
      <c r="H42">
        <v>2004</v>
      </c>
      <c r="I42" t="s">
        <v>1</v>
      </c>
      <c r="J42" t="s">
        <v>30</v>
      </c>
      <c r="K42" t="s">
        <v>183</v>
      </c>
      <c r="L42" t="s">
        <v>184</v>
      </c>
      <c r="M42" t="s">
        <v>185</v>
      </c>
      <c r="N42" t="s">
        <v>186</v>
      </c>
      <c r="O42" t="s">
        <v>187</v>
      </c>
      <c r="P42" t="s">
        <v>5</v>
      </c>
      <c r="Q42" t="s">
        <v>6</v>
      </c>
      <c r="R42" t="s">
        <v>333</v>
      </c>
      <c r="S42" t="s">
        <v>8</v>
      </c>
      <c r="T42" t="s">
        <v>334</v>
      </c>
      <c r="U42">
        <f>Sales_Order[[#This Row],[Quantity ordered]]*Sales_Order[[#This Row],[Price each]]</f>
        <v>4500</v>
      </c>
    </row>
    <row r="43" spans="1:21" x14ac:dyDescent="0.3">
      <c r="A43">
        <v>10329</v>
      </c>
      <c r="B43">
        <v>20</v>
      </c>
      <c r="C43">
        <v>100</v>
      </c>
      <c r="D43">
        <v>2</v>
      </c>
      <c r="E43" s="1">
        <v>38306</v>
      </c>
      <c r="F43" t="s">
        <v>0</v>
      </c>
      <c r="G43">
        <v>4</v>
      </c>
      <c r="H43">
        <v>2004</v>
      </c>
      <c r="I43" t="s">
        <v>1</v>
      </c>
      <c r="J43" t="s">
        <v>30</v>
      </c>
      <c r="K43" t="s">
        <v>155</v>
      </c>
      <c r="L43" t="s">
        <v>156</v>
      </c>
      <c r="M43" t="s">
        <v>3</v>
      </c>
      <c r="N43" t="s">
        <v>4</v>
      </c>
      <c r="O43" t="s">
        <v>135</v>
      </c>
      <c r="P43" t="s">
        <v>5</v>
      </c>
      <c r="Q43" t="s">
        <v>6</v>
      </c>
      <c r="R43" t="s">
        <v>319</v>
      </c>
      <c r="S43" t="s">
        <v>8</v>
      </c>
      <c r="T43" t="s">
        <v>334</v>
      </c>
      <c r="U43">
        <f>Sales_Order[[#This Row],[Quantity ordered]]*Sales_Order[[#This Row],[Price each]]</f>
        <v>2000</v>
      </c>
    </row>
    <row r="44" spans="1:21" x14ac:dyDescent="0.3">
      <c r="A44">
        <v>10339</v>
      </c>
      <c r="B44">
        <v>40</v>
      </c>
      <c r="C44">
        <v>68.92</v>
      </c>
      <c r="D44">
        <v>4</v>
      </c>
      <c r="E44" s="1">
        <v>38314</v>
      </c>
      <c r="F44" t="s">
        <v>0</v>
      </c>
      <c r="G44">
        <v>4</v>
      </c>
      <c r="H44">
        <v>2004</v>
      </c>
      <c r="I44" t="s">
        <v>1</v>
      </c>
      <c r="J44" t="s">
        <v>30</v>
      </c>
      <c r="K44" t="s">
        <v>220</v>
      </c>
      <c r="L44" t="s">
        <v>221</v>
      </c>
      <c r="M44" t="s">
        <v>222</v>
      </c>
      <c r="N44" t="s">
        <v>223</v>
      </c>
      <c r="O44" t="s">
        <v>224</v>
      </c>
      <c r="P44" t="s">
        <v>195</v>
      </c>
      <c r="Q44" t="s">
        <v>195</v>
      </c>
      <c r="R44" t="s">
        <v>348</v>
      </c>
      <c r="S44" t="s">
        <v>7</v>
      </c>
      <c r="T44" t="s">
        <v>334</v>
      </c>
      <c r="U44">
        <f>Sales_Order[[#This Row],[Quantity ordered]]*Sales_Order[[#This Row],[Price each]]</f>
        <v>2756.8</v>
      </c>
    </row>
    <row r="45" spans="1:21" x14ac:dyDescent="0.3">
      <c r="A45">
        <v>10361</v>
      </c>
      <c r="B45">
        <v>26</v>
      </c>
      <c r="C45">
        <v>51.15</v>
      </c>
      <c r="D45">
        <v>8</v>
      </c>
      <c r="E45" s="1">
        <v>38338</v>
      </c>
      <c r="F45" t="s">
        <v>0</v>
      </c>
      <c r="G45">
        <v>4</v>
      </c>
      <c r="H45">
        <v>2004</v>
      </c>
      <c r="I45" t="s">
        <v>1</v>
      </c>
      <c r="J45" t="s">
        <v>30</v>
      </c>
      <c r="K45" t="s">
        <v>18</v>
      </c>
      <c r="L45" t="s">
        <v>19</v>
      </c>
      <c r="M45" t="s">
        <v>20</v>
      </c>
      <c r="N45" t="s">
        <v>21</v>
      </c>
      <c r="O45" t="s">
        <v>136</v>
      </c>
      <c r="P45" t="s">
        <v>13</v>
      </c>
      <c r="Q45" t="s">
        <v>14</v>
      </c>
      <c r="R45" t="s">
        <v>335</v>
      </c>
      <c r="S45" t="s">
        <v>7</v>
      </c>
      <c r="T45" t="s">
        <v>336</v>
      </c>
      <c r="U45">
        <f>Sales_Order[[#This Row],[Quantity ordered]]*Sales_Order[[#This Row],[Price each]]</f>
        <v>1329.8999999999999</v>
      </c>
    </row>
    <row r="46" spans="1:21" x14ac:dyDescent="0.3">
      <c r="A46">
        <v>10374</v>
      </c>
      <c r="B46">
        <v>39</v>
      </c>
      <c r="C46">
        <v>100</v>
      </c>
      <c r="D46">
        <v>5</v>
      </c>
      <c r="E46" s="1">
        <v>38385</v>
      </c>
      <c r="F46" t="s">
        <v>0</v>
      </c>
      <c r="G46">
        <v>1</v>
      </c>
      <c r="H46">
        <v>2005</v>
      </c>
      <c r="I46" t="s">
        <v>1</v>
      </c>
      <c r="J46" t="s">
        <v>30</v>
      </c>
      <c r="K46" t="s">
        <v>196</v>
      </c>
      <c r="L46" t="s">
        <v>197</v>
      </c>
      <c r="M46" t="s">
        <v>198</v>
      </c>
      <c r="N46" t="s">
        <v>199</v>
      </c>
      <c r="O46" t="s">
        <v>200</v>
      </c>
      <c r="P46" t="s">
        <v>13</v>
      </c>
      <c r="Q46" t="s">
        <v>14</v>
      </c>
      <c r="R46" t="s">
        <v>341</v>
      </c>
      <c r="S46" t="s">
        <v>8</v>
      </c>
      <c r="T46" t="s">
        <v>320</v>
      </c>
      <c r="U46">
        <f>Sales_Order[[#This Row],[Quantity ordered]]*Sales_Order[[#This Row],[Price each]]</f>
        <v>3900</v>
      </c>
    </row>
    <row r="47" spans="1:21" x14ac:dyDescent="0.3">
      <c r="A47">
        <v>10388</v>
      </c>
      <c r="B47">
        <v>50</v>
      </c>
      <c r="C47">
        <v>44.51</v>
      </c>
      <c r="D47">
        <v>5</v>
      </c>
      <c r="E47" s="1">
        <v>38414</v>
      </c>
      <c r="F47" t="s">
        <v>0</v>
      </c>
      <c r="G47">
        <v>1</v>
      </c>
      <c r="H47">
        <v>2005</v>
      </c>
      <c r="I47" t="s">
        <v>1</v>
      </c>
      <c r="J47" t="s">
        <v>30</v>
      </c>
      <c r="K47" t="s">
        <v>189</v>
      </c>
      <c r="L47" t="s">
        <v>190</v>
      </c>
      <c r="M47" t="s">
        <v>191</v>
      </c>
      <c r="N47" t="s">
        <v>181</v>
      </c>
      <c r="O47" t="s">
        <v>192</v>
      </c>
      <c r="P47" t="s">
        <v>5</v>
      </c>
      <c r="Q47" t="s">
        <v>6</v>
      </c>
      <c r="R47" t="s">
        <v>337</v>
      </c>
      <c r="S47" t="s">
        <v>7</v>
      </c>
      <c r="T47" t="s">
        <v>338</v>
      </c>
      <c r="U47">
        <f>Sales_Order[[#This Row],[Quantity ordered]]*Sales_Order[[#This Row],[Price each]]</f>
        <v>2225.5</v>
      </c>
    </row>
    <row r="48" spans="1:21" x14ac:dyDescent="0.3">
      <c r="A48">
        <v>10107</v>
      </c>
      <c r="B48">
        <v>27</v>
      </c>
      <c r="C48">
        <v>100</v>
      </c>
      <c r="D48">
        <v>4</v>
      </c>
      <c r="E48" s="1">
        <v>37676</v>
      </c>
      <c r="F48" t="s">
        <v>0</v>
      </c>
      <c r="G48">
        <v>1</v>
      </c>
      <c r="H48">
        <v>2003</v>
      </c>
      <c r="I48" t="s">
        <v>1</v>
      </c>
      <c r="J48" t="s">
        <v>31</v>
      </c>
      <c r="K48" t="s">
        <v>155</v>
      </c>
      <c r="L48" t="s">
        <v>156</v>
      </c>
      <c r="M48" t="s">
        <v>3</v>
      </c>
      <c r="N48" t="s">
        <v>4</v>
      </c>
      <c r="O48" t="s">
        <v>135</v>
      </c>
      <c r="P48" t="s">
        <v>5</v>
      </c>
      <c r="Q48" t="s">
        <v>6</v>
      </c>
      <c r="R48" t="s">
        <v>319</v>
      </c>
      <c r="S48" t="s">
        <v>8</v>
      </c>
      <c r="T48" t="s">
        <v>320</v>
      </c>
      <c r="U48">
        <f>Sales_Order[[#This Row],[Quantity ordered]]*Sales_Order[[#This Row],[Price each]]</f>
        <v>2700</v>
      </c>
    </row>
    <row r="49" spans="1:21" x14ac:dyDescent="0.3">
      <c r="A49">
        <v>10120</v>
      </c>
      <c r="B49">
        <v>46</v>
      </c>
      <c r="C49">
        <v>100</v>
      </c>
      <c r="D49">
        <v>2</v>
      </c>
      <c r="E49" s="1">
        <v>37740</v>
      </c>
      <c r="F49" t="s">
        <v>0</v>
      </c>
      <c r="G49">
        <v>2</v>
      </c>
      <c r="H49">
        <v>2003</v>
      </c>
      <c r="I49" t="s">
        <v>1</v>
      </c>
      <c r="J49" t="s">
        <v>31</v>
      </c>
      <c r="K49" t="s">
        <v>9</v>
      </c>
      <c r="L49" t="s">
        <v>10</v>
      </c>
      <c r="M49" t="s">
        <v>11</v>
      </c>
      <c r="N49" t="s">
        <v>12</v>
      </c>
      <c r="O49" t="s">
        <v>134</v>
      </c>
      <c r="P49" t="s">
        <v>13</v>
      </c>
      <c r="Q49" t="s">
        <v>14</v>
      </c>
      <c r="R49" t="s">
        <v>325</v>
      </c>
      <c r="S49" t="s">
        <v>17</v>
      </c>
      <c r="T49" t="s">
        <v>327</v>
      </c>
      <c r="U49">
        <f>Sales_Order[[#This Row],[Quantity ordered]]*Sales_Order[[#This Row],[Price each]]</f>
        <v>4600</v>
      </c>
    </row>
    <row r="50" spans="1:21" x14ac:dyDescent="0.3">
      <c r="A50">
        <v>10145</v>
      </c>
      <c r="B50">
        <v>33</v>
      </c>
      <c r="C50">
        <v>100</v>
      </c>
      <c r="D50">
        <v>8</v>
      </c>
      <c r="E50" s="1">
        <v>37858</v>
      </c>
      <c r="F50" t="s">
        <v>0</v>
      </c>
      <c r="G50">
        <v>3</v>
      </c>
      <c r="H50">
        <v>2003</v>
      </c>
      <c r="I50" t="s">
        <v>1</v>
      </c>
      <c r="J50" t="s">
        <v>31</v>
      </c>
      <c r="K50" t="s">
        <v>158</v>
      </c>
      <c r="L50" t="s">
        <v>159</v>
      </c>
      <c r="M50" t="s">
        <v>160</v>
      </c>
      <c r="N50" t="s">
        <v>161</v>
      </c>
      <c r="O50" t="s">
        <v>162</v>
      </c>
      <c r="P50" t="s">
        <v>5</v>
      </c>
      <c r="Q50" t="s">
        <v>6</v>
      </c>
      <c r="R50" t="s">
        <v>321</v>
      </c>
      <c r="S50" t="s">
        <v>8</v>
      </c>
      <c r="T50" t="s">
        <v>322</v>
      </c>
      <c r="U50">
        <f>Sales_Order[[#This Row],[Quantity ordered]]*Sales_Order[[#This Row],[Price each]]</f>
        <v>3300</v>
      </c>
    </row>
    <row r="51" spans="1:21" x14ac:dyDescent="0.3">
      <c r="A51">
        <v>10168</v>
      </c>
      <c r="B51">
        <v>20</v>
      </c>
      <c r="C51">
        <v>100</v>
      </c>
      <c r="D51">
        <v>3</v>
      </c>
      <c r="E51" s="1">
        <v>37922</v>
      </c>
      <c r="F51" t="s">
        <v>0</v>
      </c>
      <c r="G51">
        <v>4</v>
      </c>
      <c r="H51">
        <v>2003</v>
      </c>
      <c r="I51" t="s">
        <v>1</v>
      </c>
      <c r="J51" t="s">
        <v>31</v>
      </c>
      <c r="K51" t="s">
        <v>163</v>
      </c>
      <c r="L51" t="s">
        <v>164</v>
      </c>
      <c r="M51" t="s">
        <v>165</v>
      </c>
      <c r="N51" t="s">
        <v>161</v>
      </c>
      <c r="O51" t="s">
        <v>166</v>
      </c>
      <c r="P51" t="s">
        <v>5</v>
      </c>
      <c r="Q51" t="s">
        <v>6</v>
      </c>
      <c r="R51" t="s">
        <v>323</v>
      </c>
      <c r="S51" t="s">
        <v>8</v>
      </c>
      <c r="T51" t="s">
        <v>324</v>
      </c>
      <c r="U51">
        <f>Sales_Order[[#This Row],[Quantity ordered]]*Sales_Order[[#This Row],[Price each]]</f>
        <v>2000</v>
      </c>
    </row>
    <row r="52" spans="1:21" x14ac:dyDescent="0.3">
      <c r="A52">
        <v>10210</v>
      </c>
      <c r="B52">
        <v>34</v>
      </c>
      <c r="C52">
        <v>100</v>
      </c>
      <c r="D52">
        <v>1</v>
      </c>
      <c r="E52" s="1">
        <v>38322</v>
      </c>
      <c r="F52" t="s">
        <v>0</v>
      </c>
      <c r="G52">
        <v>1</v>
      </c>
      <c r="H52">
        <v>2004</v>
      </c>
      <c r="I52" t="s">
        <v>1</v>
      </c>
      <c r="J52" t="s">
        <v>31</v>
      </c>
      <c r="K52" t="s">
        <v>242</v>
      </c>
      <c r="L52" t="s">
        <v>243</v>
      </c>
      <c r="M52" t="s">
        <v>244</v>
      </c>
      <c r="N52" t="s">
        <v>244</v>
      </c>
      <c r="O52" t="s">
        <v>245</v>
      </c>
      <c r="P52" t="s">
        <v>195</v>
      </c>
      <c r="Q52" t="s">
        <v>195</v>
      </c>
      <c r="R52" t="s">
        <v>354</v>
      </c>
      <c r="S52" t="s">
        <v>8</v>
      </c>
      <c r="T52" t="s">
        <v>345</v>
      </c>
      <c r="U52">
        <f>Sales_Order[[#This Row],[Quantity ordered]]*Sales_Order[[#This Row],[Price each]]</f>
        <v>3400</v>
      </c>
    </row>
    <row r="53" spans="1:21" x14ac:dyDescent="0.3">
      <c r="A53">
        <v>10223</v>
      </c>
      <c r="B53">
        <v>49</v>
      </c>
      <c r="C53">
        <v>100</v>
      </c>
      <c r="D53">
        <v>3</v>
      </c>
      <c r="E53" s="1">
        <v>38037</v>
      </c>
      <c r="F53" t="s">
        <v>0</v>
      </c>
      <c r="G53">
        <v>1</v>
      </c>
      <c r="H53">
        <v>2004</v>
      </c>
      <c r="I53" t="s">
        <v>1</v>
      </c>
      <c r="J53" t="s">
        <v>31</v>
      </c>
      <c r="K53" t="s">
        <v>9</v>
      </c>
      <c r="L53" t="s">
        <v>10</v>
      </c>
      <c r="M53" t="s">
        <v>11</v>
      </c>
      <c r="N53" t="s">
        <v>12</v>
      </c>
      <c r="O53" t="s">
        <v>134</v>
      </c>
      <c r="P53" t="s">
        <v>13</v>
      </c>
      <c r="Q53" t="s">
        <v>14</v>
      </c>
      <c r="R53" t="s">
        <v>325</v>
      </c>
      <c r="S53" t="s">
        <v>17</v>
      </c>
      <c r="T53" t="s">
        <v>320</v>
      </c>
      <c r="U53">
        <f>Sales_Order[[#This Row],[Quantity ordered]]*Sales_Order[[#This Row],[Price each]]</f>
        <v>4900</v>
      </c>
    </row>
    <row r="54" spans="1:21" x14ac:dyDescent="0.3">
      <c r="A54">
        <v>10237</v>
      </c>
      <c r="B54">
        <v>39</v>
      </c>
      <c r="C54">
        <v>100</v>
      </c>
      <c r="D54">
        <v>9</v>
      </c>
      <c r="E54" s="1">
        <v>38111</v>
      </c>
      <c r="F54" t="s">
        <v>0</v>
      </c>
      <c r="G54">
        <v>2</v>
      </c>
      <c r="H54">
        <v>2004</v>
      </c>
      <c r="I54" t="s">
        <v>1</v>
      </c>
      <c r="J54" t="s">
        <v>31</v>
      </c>
      <c r="K54" t="s">
        <v>15</v>
      </c>
      <c r="L54" t="s">
        <v>16</v>
      </c>
      <c r="M54" t="s">
        <v>3</v>
      </c>
      <c r="N54" t="s">
        <v>4</v>
      </c>
      <c r="O54" t="s">
        <v>135</v>
      </c>
      <c r="P54" t="s">
        <v>5</v>
      </c>
      <c r="Q54" t="s">
        <v>6</v>
      </c>
      <c r="R54" t="s">
        <v>326</v>
      </c>
      <c r="S54" t="s">
        <v>17</v>
      </c>
      <c r="T54" t="s">
        <v>327</v>
      </c>
      <c r="U54">
        <f>Sales_Order[[#This Row],[Quantity ordered]]*Sales_Order[[#This Row],[Price each]]</f>
        <v>3900</v>
      </c>
    </row>
    <row r="55" spans="1:21" x14ac:dyDescent="0.3">
      <c r="A55">
        <v>10251</v>
      </c>
      <c r="B55">
        <v>43</v>
      </c>
      <c r="C55">
        <v>100</v>
      </c>
      <c r="D55">
        <v>4</v>
      </c>
      <c r="E55" s="1">
        <v>38125</v>
      </c>
      <c r="F55" t="s">
        <v>0</v>
      </c>
      <c r="G55">
        <v>2</v>
      </c>
      <c r="H55">
        <v>2004</v>
      </c>
      <c r="I55" t="s">
        <v>1</v>
      </c>
      <c r="J55" t="s">
        <v>31</v>
      </c>
      <c r="K55" t="s">
        <v>168</v>
      </c>
      <c r="L55" t="s">
        <v>169</v>
      </c>
      <c r="M55" t="s">
        <v>170</v>
      </c>
      <c r="N55" t="s">
        <v>171</v>
      </c>
      <c r="O55" t="s">
        <v>172</v>
      </c>
      <c r="P55" t="s">
        <v>5</v>
      </c>
      <c r="Q55" t="s">
        <v>6</v>
      </c>
      <c r="R55" t="s">
        <v>328</v>
      </c>
      <c r="S55" t="s">
        <v>17</v>
      </c>
      <c r="T55" t="s">
        <v>329</v>
      </c>
      <c r="U55">
        <f>Sales_Order[[#This Row],[Quantity ordered]]*Sales_Order[[#This Row],[Price each]]</f>
        <v>4300</v>
      </c>
    </row>
    <row r="56" spans="1:21" x14ac:dyDescent="0.3">
      <c r="A56">
        <v>10263</v>
      </c>
      <c r="B56">
        <v>41</v>
      </c>
      <c r="C56">
        <v>100</v>
      </c>
      <c r="D56">
        <v>4</v>
      </c>
      <c r="E56" s="1">
        <v>38166</v>
      </c>
      <c r="F56" t="s">
        <v>0</v>
      </c>
      <c r="G56">
        <v>2</v>
      </c>
      <c r="H56">
        <v>2004</v>
      </c>
      <c r="I56" t="s">
        <v>1</v>
      </c>
      <c r="J56" t="s">
        <v>31</v>
      </c>
      <c r="K56" t="s">
        <v>173</v>
      </c>
      <c r="L56" t="s">
        <v>174</v>
      </c>
      <c r="M56" t="s">
        <v>175</v>
      </c>
      <c r="N56" t="s">
        <v>176</v>
      </c>
      <c r="O56" t="s">
        <v>177</v>
      </c>
      <c r="P56" t="s">
        <v>5</v>
      </c>
      <c r="Q56" t="s">
        <v>6</v>
      </c>
      <c r="R56" t="s">
        <v>330</v>
      </c>
      <c r="S56" t="s">
        <v>17</v>
      </c>
      <c r="T56" t="s">
        <v>331</v>
      </c>
      <c r="U56">
        <f>Sales_Order[[#This Row],[Quantity ordered]]*Sales_Order[[#This Row],[Price each]]</f>
        <v>4100</v>
      </c>
    </row>
    <row r="57" spans="1:21" x14ac:dyDescent="0.3">
      <c r="A57">
        <v>10285</v>
      </c>
      <c r="B57">
        <v>27</v>
      </c>
      <c r="C57">
        <v>100</v>
      </c>
      <c r="D57">
        <v>8</v>
      </c>
      <c r="E57" s="1">
        <v>38226</v>
      </c>
      <c r="F57" t="s">
        <v>0</v>
      </c>
      <c r="G57">
        <v>3</v>
      </c>
      <c r="H57">
        <v>2004</v>
      </c>
      <c r="I57" t="s">
        <v>1</v>
      </c>
      <c r="J57" t="s">
        <v>31</v>
      </c>
      <c r="K57" t="s">
        <v>178</v>
      </c>
      <c r="L57" t="s">
        <v>179</v>
      </c>
      <c r="M57" t="s">
        <v>180</v>
      </c>
      <c r="N57" t="s">
        <v>181</v>
      </c>
      <c r="O57" t="s">
        <v>182</v>
      </c>
      <c r="P57" t="s">
        <v>5</v>
      </c>
      <c r="Q57" t="s">
        <v>6</v>
      </c>
      <c r="R57" t="s">
        <v>332</v>
      </c>
      <c r="S57" t="s">
        <v>8</v>
      </c>
      <c r="T57" t="s">
        <v>322</v>
      </c>
      <c r="U57">
        <f>Sales_Order[[#This Row],[Quantity ordered]]*Sales_Order[[#This Row],[Price each]]</f>
        <v>2700</v>
      </c>
    </row>
    <row r="58" spans="1:21" x14ac:dyDescent="0.3">
      <c r="A58">
        <v>10308</v>
      </c>
      <c r="B58">
        <v>20</v>
      </c>
      <c r="C58">
        <v>100</v>
      </c>
      <c r="D58">
        <v>1</v>
      </c>
      <c r="E58" s="1">
        <v>38275</v>
      </c>
      <c r="F58" t="s">
        <v>0</v>
      </c>
      <c r="G58">
        <v>4</v>
      </c>
      <c r="H58">
        <v>2004</v>
      </c>
      <c r="I58" t="s">
        <v>1</v>
      </c>
      <c r="J58" t="s">
        <v>31</v>
      </c>
      <c r="K58" t="s">
        <v>248</v>
      </c>
      <c r="L58" t="s">
        <v>249</v>
      </c>
      <c r="M58" t="s">
        <v>250</v>
      </c>
      <c r="N58" t="s">
        <v>4</v>
      </c>
      <c r="O58" t="s">
        <v>251</v>
      </c>
      <c r="P58" t="s">
        <v>5</v>
      </c>
      <c r="Q58" t="s">
        <v>6</v>
      </c>
      <c r="R58" t="s">
        <v>356</v>
      </c>
      <c r="S58" t="s">
        <v>8</v>
      </c>
      <c r="T58" t="s">
        <v>324</v>
      </c>
      <c r="U58">
        <f>Sales_Order[[#This Row],[Quantity ordered]]*Sales_Order[[#This Row],[Price each]]</f>
        <v>2000</v>
      </c>
    </row>
    <row r="59" spans="1:21" x14ac:dyDescent="0.3">
      <c r="A59">
        <v>10318</v>
      </c>
      <c r="B59">
        <v>37</v>
      </c>
      <c r="C59">
        <v>100</v>
      </c>
      <c r="D59">
        <v>3</v>
      </c>
      <c r="E59" s="1">
        <v>38028</v>
      </c>
      <c r="F59" t="s">
        <v>0</v>
      </c>
      <c r="G59">
        <v>4</v>
      </c>
      <c r="H59">
        <v>2004</v>
      </c>
      <c r="I59" t="s">
        <v>1</v>
      </c>
      <c r="J59" t="s">
        <v>31</v>
      </c>
      <c r="K59" t="s">
        <v>183</v>
      </c>
      <c r="L59" t="s">
        <v>184</v>
      </c>
      <c r="M59" t="s">
        <v>185</v>
      </c>
      <c r="N59" t="s">
        <v>186</v>
      </c>
      <c r="O59" t="s">
        <v>187</v>
      </c>
      <c r="P59" t="s">
        <v>5</v>
      </c>
      <c r="Q59" t="s">
        <v>6</v>
      </c>
      <c r="R59" t="s">
        <v>333</v>
      </c>
      <c r="S59" t="s">
        <v>17</v>
      </c>
      <c r="T59" t="s">
        <v>334</v>
      </c>
      <c r="U59">
        <f>Sales_Order[[#This Row],[Quantity ordered]]*Sales_Order[[#This Row],[Price each]]</f>
        <v>3700</v>
      </c>
    </row>
    <row r="60" spans="1:21" x14ac:dyDescent="0.3">
      <c r="A60">
        <v>10329</v>
      </c>
      <c r="B60">
        <v>26</v>
      </c>
      <c r="C60">
        <v>100</v>
      </c>
      <c r="D60">
        <v>3</v>
      </c>
      <c r="E60" s="1">
        <v>38306</v>
      </c>
      <c r="F60" t="s">
        <v>0</v>
      </c>
      <c r="G60">
        <v>4</v>
      </c>
      <c r="H60">
        <v>2004</v>
      </c>
      <c r="I60" t="s">
        <v>1</v>
      </c>
      <c r="J60" t="s">
        <v>31</v>
      </c>
      <c r="K60" t="s">
        <v>155</v>
      </c>
      <c r="L60" t="s">
        <v>156</v>
      </c>
      <c r="M60" t="s">
        <v>3</v>
      </c>
      <c r="N60" t="s">
        <v>4</v>
      </c>
      <c r="O60" t="s">
        <v>135</v>
      </c>
      <c r="P60" t="s">
        <v>5</v>
      </c>
      <c r="Q60" t="s">
        <v>6</v>
      </c>
      <c r="R60" t="s">
        <v>319</v>
      </c>
      <c r="S60" t="s">
        <v>8</v>
      </c>
      <c r="T60" t="s">
        <v>334</v>
      </c>
      <c r="U60">
        <f>Sales_Order[[#This Row],[Quantity ordered]]*Sales_Order[[#This Row],[Price each]]</f>
        <v>2600</v>
      </c>
    </row>
    <row r="61" spans="1:21" x14ac:dyDescent="0.3">
      <c r="A61">
        <v>10339</v>
      </c>
      <c r="B61">
        <v>39</v>
      </c>
      <c r="C61">
        <v>76.67</v>
      </c>
      <c r="D61">
        <v>3</v>
      </c>
      <c r="E61" s="1">
        <v>38314</v>
      </c>
      <c r="F61" t="s">
        <v>0</v>
      </c>
      <c r="G61">
        <v>4</v>
      </c>
      <c r="H61">
        <v>2004</v>
      </c>
      <c r="I61" t="s">
        <v>1</v>
      </c>
      <c r="J61" t="s">
        <v>31</v>
      </c>
      <c r="K61" t="s">
        <v>220</v>
      </c>
      <c r="L61" t="s">
        <v>221</v>
      </c>
      <c r="M61" t="s">
        <v>222</v>
      </c>
      <c r="N61" t="s">
        <v>223</v>
      </c>
      <c r="O61" t="s">
        <v>224</v>
      </c>
      <c r="P61" t="s">
        <v>195</v>
      </c>
      <c r="Q61" t="s">
        <v>195</v>
      </c>
      <c r="R61" t="s">
        <v>348</v>
      </c>
      <c r="S61" t="s">
        <v>7</v>
      </c>
      <c r="T61" t="s">
        <v>334</v>
      </c>
      <c r="U61">
        <f>Sales_Order[[#This Row],[Quantity ordered]]*Sales_Order[[#This Row],[Price each]]</f>
        <v>2990.13</v>
      </c>
    </row>
    <row r="62" spans="1:21" x14ac:dyDescent="0.3">
      <c r="A62">
        <v>10362</v>
      </c>
      <c r="B62">
        <v>22</v>
      </c>
      <c r="C62">
        <v>100</v>
      </c>
      <c r="D62">
        <v>4</v>
      </c>
      <c r="E62" s="1">
        <v>38473</v>
      </c>
      <c r="F62" t="s">
        <v>0</v>
      </c>
      <c r="G62">
        <v>1</v>
      </c>
      <c r="H62">
        <v>2005</v>
      </c>
      <c r="I62" t="s">
        <v>1</v>
      </c>
      <c r="J62" t="s">
        <v>31</v>
      </c>
      <c r="K62" t="s">
        <v>163</v>
      </c>
      <c r="L62" t="s">
        <v>164</v>
      </c>
      <c r="M62" t="s">
        <v>165</v>
      </c>
      <c r="N62" t="s">
        <v>161</v>
      </c>
      <c r="O62" t="s">
        <v>166</v>
      </c>
      <c r="P62" t="s">
        <v>5</v>
      </c>
      <c r="Q62" t="s">
        <v>6</v>
      </c>
      <c r="R62" t="s">
        <v>323</v>
      </c>
      <c r="S62" t="s">
        <v>8</v>
      </c>
      <c r="T62" t="s">
        <v>345</v>
      </c>
      <c r="U62">
        <f>Sales_Order[[#This Row],[Quantity ordered]]*Sales_Order[[#This Row],[Price each]]</f>
        <v>2200</v>
      </c>
    </row>
    <row r="63" spans="1:21" x14ac:dyDescent="0.3">
      <c r="A63">
        <v>10374</v>
      </c>
      <c r="B63">
        <v>22</v>
      </c>
      <c r="C63">
        <v>100</v>
      </c>
      <c r="D63">
        <v>1</v>
      </c>
      <c r="E63" s="1">
        <v>38385</v>
      </c>
      <c r="F63" t="s">
        <v>0</v>
      </c>
      <c r="G63">
        <v>1</v>
      </c>
      <c r="H63">
        <v>2005</v>
      </c>
      <c r="I63" t="s">
        <v>1</v>
      </c>
      <c r="J63" t="s">
        <v>31</v>
      </c>
      <c r="K63" t="s">
        <v>196</v>
      </c>
      <c r="L63" t="s">
        <v>197</v>
      </c>
      <c r="M63" t="s">
        <v>198</v>
      </c>
      <c r="N63" t="s">
        <v>199</v>
      </c>
      <c r="O63" t="s">
        <v>200</v>
      </c>
      <c r="P63" t="s">
        <v>13</v>
      </c>
      <c r="Q63" t="s">
        <v>14</v>
      </c>
      <c r="R63" t="s">
        <v>341</v>
      </c>
      <c r="S63" t="s">
        <v>8</v>
      </c>
      <c r="T63" t="s">
        <v>320</v>
      </c>
      <c r="U63">
        <f>Sales_Order[[#This Row],[Quantity ordered]]*Sales_Order[[#This Row],[Price each]]</f>
        <v>2200</v>
      </c>
    </row>
    <row r="64" spans="1:21" x14ac:dyDescent="0.3">
      <c r="A64">
        <v>10388</v>
      </c>
      <c r="B64">
        <v>21</v>
      </c>
      <c r="C64">
        <v>86.77</v>
      </c>
      <c r="D64">
        <v>7</v>
      </c>
      <c r="E64" s="1">
        <v>38414</v>
      </c>
      <c r="F64" t="s">
        <v>0</v>
      </c>
      <c r="G64">
        <v>1</v>
      </c>
      <c r="H64">
        <v>2005</v>
      </c>
      <c r="I64" t="s">
        <v>1</v>
      </c>
      <c r="J64" t="s">
        <v>31</v>
      </c>
      <c r="K64" t="s">
        <v>189</v>
      </c>
      <c r="L64" t="s">
        <v>190</v>
      </c>
      <c r="M64" t="s">
        <v>191</v>
      </c>
      <c r="N64" t="s">
        <v>181</v>
      </c>
      <c r="O64" t="s">
        <v>192</v>
      </c>
      <c r="P64" t="s">
        <v>5</v>
      </c>
      <c r="Q64" t="s">
        <v>6</v>
      </c>
      <c r="R64" t="s">
        <v>337</v>
      </c>
      <c r="S64" t="s">
        <v>7</v>
      </c>
      <c r="T64" t="s">
        <v>338</v>
      </c>
      <c r="U64">
        <f>Sales_Order[[#This Row],[Quantity ordered]]*Sales_Order[[#This Row],[Price each]]</f>
        <v>1822.1699999999998</v>
      </c>
    </row>
    <row r="65" spans="1:21" x14ac:dyDescent="0.3">
      <c r="A65">
        <v>10143</v>
      </c>
      <c r="B65">
        <v>49</v>
      </c>
      <c r="C65">
        <v>100</v>
      </c>
      <c r="D65">
        <v>15</v>
      </c>
      <c r="E65" s="1">
        <v>37902</v>
      </c>
      <c r="F65" t="s">
        <v>0</v>
      </c>
      <c r="G65">
        <v>3</v>
      </c>
      <c r="H65">
        <v>2003</v>
      </c>
      <c r="I65" t="s">
        <v>22</v>
      </c>
      <c r="J65" t="s">
        <v>32</v>
      </c>
      <c r="K65" t="s">
        <v>252</v>
      </c>
      <c r="L65" t="s">
        <v>253</v>
      </c>
      <c r="M65" t="s">
        <v>191</v>
      </c>
      <c r="N65" t="s">
        <v>181</v>
      </c>
      <c r="O65" t="s">
        <v>192</v>
      </c>
      <c r="P65" t="s">
        <v>5</v>
      </c>
      <c r="Q65" t="s">
        <v>6</v>
      </c>
      <c r="R65" t="s">
        <v>357</v>
      </c>
      <c r="S65" t="s">
        <v>8</v>
      </c>
      <c r="T65" t="s">
        <v>322</v>
      </c>
      <c r="U65">
        <f>Sales_Order[[#This Row],[Quantity ordered]]*Sales_Order[[#This Row],[Price each]]</f>
        <v>4900</v>
      </c>
    </row>
    <row r="66" spans="1:21" x14ac:dyDescent="0.3">
      <c r="A66">
        <v>10222</v>
      </c>
      <c r="B66">
        <v>49</v>
      </c>
      <c r="C66">
        <v>100</v>
      </c>
      <c r="D66">
        <v>12</v>
      </c>
      <c r="E66" s="1">
        <v>38036</v>
      </c>
      <c r="F66" t="s">
        <v>0</v>
      </c>
      <c r="G66">
        <v>1</v>
      </c>
      <c r="H66">
        <v>2004</v>
      </c>
      <c r="I66" t="s">
        <v>22</v>
      </c>
      <c r="J66" t="s">
        <v>32</v>
      </c>
      <c r="K66" t="s">
        <v>255</v>
      </c>
      <c r="L66" t="s">
        <v>256</v>
      </c>
      <c r="M66" t="s">
        <v>257</v>
      </c>
      <c r="N66" t="s">
        <v>161</v>
      </c>
      <c r="O66" t="s">
        <v>258</v>
      </c>
      <c r="P66" t="s">
        <v>5</v>
      </c>
      <c r="Q66" t="s">
        <v>6</v>
      </c>
      <c r="R66" t="s">
        <v>358</v>
      </c>
      <c r="S66" t="s">
        <v>8</v>
      </c>
      <c r="T66" t="s">
        <v>320</v>
      </c>
      <c r="U66">
        <f>Sales_Order[[#This Row],[Quantity ordered]]*Sales_Order[[#This Row],[Price each]]</f>
        <v>4900</v>
      </c>
    </row>
    <row r="67" spans="1:21" x14ac:dyDescent="0.3">
      <c r="A67">
        <v>10248</v>
      </c>
      <c r="B67">
        <v>20</v>
      </c>
      <c r="C67">
        <v>100</v>
      </c>
      <c r="D67">
        <v>3</v>
      </c>
      <c r="E67" s="1">
        <v>38173</v>
      </c>
      <c r="F67" t="s">
        <v>254</v>
      </c>
      <c r="G67">
        <v>2</v>
      </c>
      <c r="H67">
        <v>2004</v>
      </c>
      <c r="I67" t="s">
        <v>22</v>
      </c>
      <c r="J67" t="s">
        <v>32</v>
      </c>
      <c r="K67" t="s">
        <v>155</v>
      </c>
      <c r="L67" t="s">
        <v>156</v>
      </c>
      <c r="M67" t="s">
        <v>3</v>
      </c>
      <c r="N67" t="s">
        <v>4</v>
      </c>
      <c r="O67" t="s">
        <v>135</v>
      </c>
      <c r="P67" t="s">
        <v>5</v>
      </c>
      <c r="Q67" t="s">
        <v>6</v>
      </c>
      <c r="R67" t="s">
        <v>319</v>
      </c>
      <c r="S67" t="s">
        <v>7</v>
      </c>
      <c r="T67" t="s">
        <v>329</v>
      </c>
      <c r="U67">
        <f>Sales_Order[[#This Row],[Quantity ordered]]*Sales_Order[[#This Row],[Price each]]</f>
        <v>2000</v>
      </c>
    </row>
    <row r="68" spans="1:21" x14ac:dyDescent="0.3">
      <c r="A68">
        <v>10261</v>
      </c>
      <c r="B68">
        <v>27</v>
      </c>
      <c r="C68">
        <v>100</v>
      </c>
      <c r="D68">
        <v>1</v>
      </c>
      <c r="E68" s="1">
        <v>38155</v>
      </c>
      <c r="F68" t="s">
        <v>0</v>
      </c>
      <c r="G68">
        <v>2</v>
      </c>
      <c r="H68">
        <v>2004</v>
      </c>
      <c r="I68" t="s">
        <v>22</v>
      </c>
      <c r="J68" t="s">
        <v>32</v>
      </c>
      <c r="K68" t="s">
        <v>237</v>
      </c>
      <c r="L68" t="s">
        <v>238</v>
      </c>
      <c r="M68" t="s">
        <v>239</v>
      </c>
      <c r="N68" t="s">
        <v>240</v>
      </c>
      <c r="O68" t="s">
        <v>241</v>
      </c>
      <c r="P68" t="s">
        <v>210</v>
      </c>
      <c r="Q68" t="s">
        <v>6</v>
      </c>
      <c r="R68" t="s">
        <v>353</v>
      </c>
      <c r="S68" t="s">
        <v>8</v>
      </c>
      <c r="T68" t="s">
        <v>331</v>
      </c>
      <c r="U68">
        <f>Sales_Order[[#This Row],[Quantity ordered]]*Sales_Order[[#This Row],[Price each]]</f>
        <v>2700</v>
      </c>
    </row>
    <row r="69" spans="1:21" x14ac:dyDescent="0.3">
      <c r="A69">
        <v>10283</v>
      </c>
      <c r="B69">
        <v>25</v>
      </c>
      <c r="C69">
        <v>100</v>
      </c>
      <c r="D69">
        <v>6</v>
      </c>
      <c r="E69" s="1">
        <v>38219</v>
      </c>
      <c r="F69" t="s">
        <v>0</v>
      </c>
      <c r="G69">
        <v>3</v>
      </c>
      <c r="H69">
        <v>2004</v>
      </c>
      <c r="I69" t="s">
        <v>22</v>
      </c>
      <c r="J69" t="s">
        <v>32</v>
      </c>
      <c r="K69" t="s">
        <v>259</v>
      </c>
      <c r="L69" t="s">
        <v>260</v>
      </c>
      <c r="M69" t="s">
        <v>261</v>
      </c>
      <c r="N69" t="s">
        <v>208</v>
      </c>
      <c r="O69" t="s">
        <v>262</v>
      </c>
      <c r="P69" t="s">
        <v>210</v>
      </c>
      <c r="Q69" t="s">
        <v>6</v>
      </c>
      <c r="R69" t="s">
        <v>359</v>
      </c>
      <c r="S69" t="s">
        <v>7</v>
      </c>
      <c r="T69" t="s">
        <v>322</v>
      </c>
      <c r="U69">
        <f>Sales_Order[[#This Row],[Quantity ordered]]*Sales_Order[[#This Row],[Price each]]</f>
        <v>2500</v>
      </c>
    </row>
    <row r="70" spans="1:21" x14ac:dyDescent="0.3">
      <c r="A70">
        <v>10295</v>
      </c>
      <c r="B70">
        <v>24</v>
      </c>
      <c r="C70">
        <v>100</v>
      </c>
      <c r="D70">
        <v>1</v>
      </c>
      <c r="E70" s="1">
        <v>38269</v>
      </c>
      <c r="F70" t="s">
        <v>0</v>
      </c>
      <c r="G70">
        <v>3</v>
      </c>
      <c r="H70">
        <v>2004</v>
      </c>
      <c r="I70" t="s">
        <v>22</v>
      </c>
      <c r="J70" t="s">
        <v>32</v>
      </c>
      <c r="K70" t="s">
        <v>263</v>
      </c>
      <c r="L70" t="s">
        <v>264</v>
      </c>
      <c r="M70" t="s">
        <v>265</v>
      </c>
      <c r="N70" t="s">
        <v>181</v>
      </c>
      <c r="O70" t="s">
        <v>266</v>
      </c>
      <c r="P70" t="s">
        <v>5</v>
      </c>
      <c r="Q70" t="s">
        <v>6</v>
      </c>
      <c r="R70" t="s">
        <v>360</v>
      </c>
      <c r="S70" t="s">
        <v>8</v>
      </c>
      <c r="T70" t="s">
        <v>361</v>
      </c>
      <c r="U70">
        <f>Sales_Order[[#This Row],[Quantity ordered]]*Sales_Order[[#This Row],[Price each]]</f>
        <v>2400</v>
      </c>
    </row>
    <row r="71" spans="1:21" x14ac:dyDescent="0.3">
      <c r="A71">
        <v>10307</v>
      </c>
      <c r="B71">
        <v>22</v>
      </c>
      <c r="C71">
        <v>100</v>
      </c>
      <c r="D71">
        <v>9</v>
      </c>
      <c r="E71" s="1">
        <v>38274</v>
      </c>
      <c r="F71" t="s">
        <v>0</v>
      </c>
      <c r="G71">
        <v>4</v>
      </c>
      <c r="H71">
        <v>2004</v>
      </c>
      <c r="I71" t="s">
        <v>22</v>
      </c>
      <c r="J71" t="s">
        <v>32</v>
      </c>
      <c r="K71" t="s">
        <v>201</v>
      </c>
      <c r="L71" t="s">
        <v>202</v>
      </c>
      <c r="M71" t="s">
        <v>203</v>
      </c>
      <c r="N71" t="s">
        <v>186</v>
      </c>
      <c r="O71" t="s">
        <v>204</v>
      </c>
      <c r="P71" t="s">
        <v>5</v>
      </c>
      <c r="Q71" t="s">
        <v>6</v>
      </c>
      <c r="R71" t="s">
        <v>342</v>
      </c>
      <c r="S71" t="s">
        <v>7</v>
      </c>
      <c r="T71" t="s">
        <v>324</v>
      </c>
      <c r="U71">
        <f>Sales_Order[[#This Row],[Quantity ordered]]*Sales_Order[[#This Row],[Price each]]</f>
        <v>2200</v>
      </c>
    </row>
    <row r="72" spans="1:21" x14ac:dyDescent="0.3">
      <c r="A72">
        <v>10316</v>
      </c>
      <c r="B72">
        <v>33</v>
      </c>
      <c r="C72">
        <v>100</v>
      </c>
      <c r="D72">
        <v>17</v>
      </c>
      <c r="E72" s="1">
        <v>37997</v>
      </c>
      <c r="F72" t="s">
        <v>0</v>
      </c>
      <c r="G72">
        <v>4</v>
      </c>
      <c r="H72">
        <v>2004</v>
      </c>
      <c r="I72" t="s">
        <v>22</v>
      </c>
      <c r="J72" t="s">
        <v>32</v>
      </c>
      <c r="K72" t="s">
        <v>267</v>
      </c>
      <c r="L72" t="s">
        <v>268</v>
      </c>
      <c r="M72" t="s">
        <v>269</v>
      </c>
      <c r="N72" t="s">
        <v>270</v>
      </c>
      <c r="O72" t="s">
        <v>271</v>
      </c>
      <c r="P72" t="s">
        <v>193</v>
      </c>
      <c r="Q72" t="s">
        <v>157</v>
      </c>
      <c r="R72" t="s">
        <v>362</v>
      </c>
      <c r="S72" t="s">
        <v>8</v>
      </c>
      <c r="T72" t="s">
        <v>334</v>
      </c>
      <c r="U72">
        <f>Sales_Order[[#This Row],[Quantity ordered]]*Sales_Order[[#This Row],[Price each]]</f>
        <v>3300</v>
      </c>
    </row>
    <row r="73" spans="1:21" x14ac:dyDescent="0.3">
      <c r="A73">
        <v>10337</v>
      </c>
      <c r="B73">
        <v>25</v>
      </c>
      <c r="C73">
        <v>48.05</v>
      </c>
      <c r="D73">
        <v>8</v>
      </c>
      <c r="E73" s="1">
        <v>38312</v>
      </c>
      <c r="F73" t="s">
        <v>0</v>
      </c>
      <c r="G73">
        <v>4</v>
      </c>
      <c r="H73">
        <v>2004</v>
      </c>
      <c r="I73" t="s">
        <v>22</v>
      </c>
      <c r="J73" t="s">
        <v>32</v>
      </c>
      <c r="K73" t="s">
        <v>24</v>
      </c>
      <c r="L73" t="s">
        <v>25</v>
      </c>
      <c r="M73" t="s">
        <v>3</v>
      </c>
      <c r="N73" t="s">
        <v>4</v>
      </c>
      <c r="O73" t="s">
        <v>135</v>
      </c>
      <c r="P73" t="s">
        <v>5</v>
      </c>
      <c r="Q73" t="s">
        <v>6</v>
      </c>
      <c r="R73" t="s">
        <v>340</v>
      </c>
      <c r="S73" t="s">
        <v>7</v>
      </c>
      <c r="T73" t="s">
        <v>334</v>
      </c>
      <c r="U73">
        <f>Sales_Order[[#This Row],[Quantity ordered]]*Sales_Order[[#This Row],[Price each]]</f>
        <v>1201.25</v>
      </c>
    </row>
    <row r="74" spans="1:21" x14ac:dyDescent="0.3">
      <c r="A74">
        <v>10400</v>
      </c>
      <c r="B74">
        <v>64</v>
      </c>
      <c r="C74">
        <v>100</v>
      </c>
      <c r="D74">
        <v>9</v>
      </c>
      <c r="E74" s="1">
        <v>38356</v>
      </c>
      <c r="F74" t="s">
        <v>0</v>
      </c>
      <c r="G74">
        <v>2</v>
      </c>
      <c r="H74">
        <v>2005</v>
      </c>
      <c r="I74" t="s">
        <v>22</v>
      </c>
      <c r="J74" t="s">
        <v>32</v>
      </c>
      <c r="K74" t="s">
        <v>272</v>
      </c>
      <c r="L74" t="s">
        <v>273</v>
      </c>
      <c r="M74" t="s">
        <v>274</v>
      </c>
      <c r="N74" t="s">
        <v>161</v>
      </c>
      <c r="O74" t="s">
        <v>166</v>
      </c>
      <c r="P74" t="s">
        <v>5</v>
      </c>
      <c r="Q74" t="s">
        <v>6</v>
      </c>
      <c r="R74" t="s">
        <v>363</v>
      </c>
      <c r="S74" t="s">
        <v>17</v>
      </c>
      <c r="T74" t="s">
        <v>327</v>
      </c>
      <c r="U74">
        <f>Sales_Order[[#This Row],[Quantity ordered]]*Sales_Order[[#This Row],[Price each]]</f>
        <v>6400</v>
      </c>
    </row>
    <row r="75" spans="1:21" x14ac:dyDescent="0.3">
      <c r="A75">
        <v>10414</v>
      </c>
      <c r="B75">
        <v>19</v>
      </c>
      <c r="C75">
        <v>100</v>
      </c>
      <c r="D75">
        <v>3</v>
      </c>
      <c r="E75" s="1">
        <v>38508</v>
      </c>
      <c r="F75" t="s">
        <v>275</v>
      </c>
      <c r="G75">
        <v>2</v>
      </c>
      <c r="H75">
        <v>2005</v>
      </c>
      <c r="I75" t="s">
        <v>22</v>
      </c>
      <c r="J75" t="s">
        <v>32</v>
      </c>
      <c r="K75" t="s">
        <v>263</v>
      </c>
      <c r="L75" t="s">
        <v>264</v>
      </c>
      <c r="M75" t="s">
        <v>265</v>
      </c>
      <c r="N75" t="s">
        <v>181</v>
      </c>
      <c r="O75" t="s">
        <v>266</v>
      </c>
      <c r="P75" t="s">
        <v>5</v>
      </c>
      <c r="Q75" t="s">
        <v>6</v>
      </c>
      <c r="R75" t="s">
        <v>360</v>
      </c>
      <c r="S75" t="s">
        <v>7</v>
      </c>
      <c r="T75" t="s">
        <v>329</v>
      </c>
      <c r="U75">
        <f>Sales_Order[[#This Row],[Quantity ordered]]*Sales_Order[[#This Row],[Price each]]</f>
        <v>1900</v>
      </c>
    </row>
    <row r="76" spans="1:21" x14ac:dyDescent="0.3">
      <c r="A76">
        <v>10140</v>
      </c>
      <c r="B76">
        <v>26</v>
      </c>
      <c r="C76">
        <v>100</v>
      </c>
      <c r="D76">
        <v>4</v>
      </c>
      <c r="E76" s="1">
        <v>37826</v>
      </c>
      <c r="F76" t="s">
        <v>0</v>
      </c>
      <c r="G76">
        <v>3</v>
      </c>
      <c r="H76">
        <v>2003</v>
      </c>
      <c r="I76" t="s">
        <v>22</v>
      </c>
      <c r="J76" t="s">
        <v>33</v>
      </c>
      <c r="K76" t="s">
        <v>163</v>
      </c>
      <c r="L76" t="s">
        <v>164</v>
      </c>
      <c r="M76" t="s">
        <v>165</v>
      </c>
      <c r="N76" t="s">
        <v>161</v>
      </c>
      <c r="O76" t="s">
        <v>166</v>
      </c>
      <c r="P76" t="s">
        <v>5</v>
      </c>
      <c r="Q76" t="s">
        <v>6</v>
      </c>
      <c r="R76" t="s">
        <v>323</v>
      </c>
      <c r="S76" t="s">
        <v>8</v>
      </c>
      <c r="T76" t="s">
        <v>339</v>
      </c>
      <c r="U76">
        <f>Sales_Order[[#This Row],[Quantity ordered]]*Sales_Order[[#This Row],[Price each]]</f>
        <v>2600</v>
      </c>
    </row>
    <row r="77" spans="1:21" x14ac:dyDescent="0.3">
      <c r="A77">
        <v>10183</v>
      </c>
      <c r="B77">
        <v>28</v>
      </c>
      <c r="C77">
        <v>100</v>
      </c>
      <c r="D77">
        <v>1</v>
      </c>
      <c r="E77" s="1">
        <v>37938</v>
      </c>
      <c r="F77" t="s">
        <v>0</v>
      </c>
      <c r="G77">
        <v>4</v>
      </c>
      <c r="H77">
        <v>2003</v>
      </c>
      <c r="I77" t="s">
        <v>22</v>
      </c>
      <c r="J77" t="s">
        <v>33</v>
      </c>
      <c r="K77" t="s">
        <v>201</v>
      </c>
      <c r="L77" t="s">
        <v>202</v>
      </c>
      <c r="M77" t="s">
        <v>203</v>
      </c>
      <c r="N77" t="s">
        <v>186</v>
      </c>
      <c r="O77" t="s">
        <v>204</v>
      </c>
      <c r="P77" t="s">
        <v>5</v>
      </c>
      <c r="Q77" t="s">
        <v>6</v>
      </c>
      <c r="R77" t="s">
        <v>342</v>
      </c>
      <c r="S77" t="s">
        <v>8</v>
      </c>
      <c r="T77" t="s">
        <v>334</v>
      </c>
      <c r="U77">
        <f>Sales_Order[[#This Row],[Quantity ordered]]*Sales_Order[[#This Row],[Price each]]</f>
        <v>2800</v>
      </c>
    </row>
    <row r="78" spans="1:21" x14ac:dyDescent="0.3">
      <c r="A78">
        <v>10207</v>
      </c>
      <c r="B78">
        <v>31</v>
      </c>
      <c r="C78">
        <v>100</v>
      </c>
      <c r="D78">
        <v>15</v>
      </c>
      <c r="E78" s="1">
        <v>37876</v>
      </c>
      <c r="F78" t="s">
        <v>0</v>
      </c>
      <c r="G78">
        <v>4</v>
      </c>
      <c r="H78">
        <v>2003</v>
      </c>
      <c r="I78" t="s">
        <v>22</v>
      </c>
      <c r="J78" t="s">
        <v>33</v>
      </c>
      <c r="K78" t="s">
        <v>277</v>
      </c>
      <c r="L78" t="s">
        <v>278</v>
      </c>
      <c r="M78" t="s">
        <v>265</v>
      </c>
      <c r="N78" t="s">
        <v>181</v>
      </c>
      <c r="O78" t="s">
        <v>266</v>
      </c>
      <c r="P78" t="s">
        <v>5</v>
      </c>
      <c r="Q78" t="s">
        <v>6</v>
      </c>
      <c r="R78" t="s">
        <v>364</v>
      </c>
      <c r="S78" t="s">
        <v>8</v>
      </c>
      <c r="T78" t="s">
        <v>336</v>
      </c>
      <c r="U78">
        <f>Sales_Order[[#This Row],[Quantity ordered]]*Sales_Order[[#This Row],[Price each]]</f>
        <v>3100</v>
      </c>
    </row>
    <row r="79" spans="1:21" x14ac:dyDescent="0.3">
      <c r="A79">
        <v>10229</v>
      </c>
      <c r="B79">
        <v>50</v>
      </c>
      <c r="C79">
        <v>100</v>
      </c>
      <c r="D79">
        <v>9</v>
      </c>
      <c r="E79" s="1">
        <v>38294</v>
      </c>
      <c r="F79" t="s">
        <v>0</v>
      </c>
      <c r="G79">
        <v>1</v>
      </c>
      <c r="H79">
        <v>2004</v>
      </c>
      <c r="I79" t="s">
        <v>22</v>
      </c>
      <c r="J79" t="s">
        <v>33</v>
      </c>
      <c r="K79" t="s">
        <v>225</v>
      </c>
      <c r="L79" t="s">
        <v>226</v>
      </c>
      <c r="M79" t="s">
        <v>227</v>
      </c>
      <c r="N79" t="s">
        <v>161</v>
      </c>
      <c r="O79" t="s">
        <v>177</v>
      </c>
      <c r="P79" t="s">
        <v>5</v>
      </c>
      <c r="Q79" t="s">
        <v>6</v>
      </c>
      <c r="R79" t="s">
        <v>349</v>
      </c>
      <c r="S79" t="s">
        <v>8</v>
      </c>
      <c r="T79" t="s">
        <v>338</v>
      </c>
      <c r="U79">
        <f>Sales_Order[[#This Row],[Quantity ordered]]*Sales_Order[[#This Row],[Price each]]</f>
        <v>5000</v>
      </c>
    </row>
    <row r="80" spans="1:21" x14ac:dyDescent="0.3">
      <c r="A80">
        <v>10245</v>
      </c>
      <c r="B80">
        <v>28</v>
      </c>
      <c r="C80">
        <v>100</v>
      </c>
      <c r="D80">
        <v>2</v>
      </c>
      <c r="E80" s="1">
        <v>38082</v>
      </c>
      <c r="F80" t="s">
        <v>0</v>
      </c>
      <c r="G80">
        <v>2</v>
      </c>
      <c r="H80">
        <v>2004</v>
      </c>
      <c r="I80" t="s">
        <v>22</v>
      </c>
      <c r="J80" t="s">
        <v>33</v>
      </c>
      <c r="K80" t="s">
        <v>216</v>
      </c>
      <c r="L80" t="s">
        <v>217</v>
      </c>
      <c r="M80" t="s">
        <v>218</v>
      </c>
      <c r="N80" t="s">
        <v>176</v>
      </c>
      <c r="O80" t="s">
        <v>219</v>
      </c>
      <c r="P80" t="s">
        <v>5</v>
      </c>
      <c r="Q80" t="s">
        <v>6</v>
      </c>
      <c r="R80" t="s">
        <v>347</v>
      </c>
      <c r="S80" t="s">
        <v>8</v>
      </c>
      <c r="T80" t="s">
        <v>329</v>
      </c>
      <c r="U80">
        <f>Sales_Order[[#This Row],[Quantity ordered]]*Sales_Order[[#This Row],[Price each]]</f>
        <v>2800</v>
      </c>
    </row>
    <row r="81" spans="1:21" x14ac:dyDescent="0.3">
      <c r="A81">
        <v>10270</v>
      </c>
      <c r="B81">
        <v>32</v>
      </c>
      <c r="C81">
        <v>100</v>
      </c>
      <c r="D81">
        <v>2</v>
      </c>
      <c r="E81" s="1">
        <v>38187</v>
      </c>
      <c r="F81" t="s">
        <v>0</v>
      </c>
      <c r="G81">
        <v>3</v>
      </c>
      <c r="H81">
        <v>2004</v>
      </c>
      <c r="I81" t="s">
        <v>22</v>
      </c>
      <c r="J81" t="s">
        <v>33</v>
      </c>
      <c r="K81" t="s">
        <v>18</v>
      </c>
      <c r="L81" t="s">
        <v>19</v>
      </c>
      <c r="M81" t="s">
        <v>20</v>
      </c>
      <c r="N81" t="s">
        <v>21</v>
      </c>
      <c r="O81" t="s">
        <v>136</v>
      </c>
      <c r="P81" t="s">
        <v>13</v>
      </c>
      <c r="Q81" t="s">
        <v>14</v>
      </c>
      <c r="R81" t="s">
        <v>335</v>
      </c>
      <c r="S81" t="s">
        <v>8</v>
      </c>
      <c r="T81" t="s">
        <v>339</v>
      </c>
      <c r="U81">
        <f>Sales_Order[[#This Row],[Quantity ordered]]*Sales_Order[[#This Row],[Price each]]</f>
        <v>3200</v>
      </c>
    </row>
    <row r="82" spans="1:21" x14ac:dyDescent="0.3">
      <c r="A82">
        <v>10281</v>
      </c>
      <c r="B82">
        <v>44</v>
      </c>
      <c r="C82">
        <v>100</v>
      </c>
      <c r="D82">
        <v>9</v>
      </c>
      <c r="E82" s="1">
        <v>38218</v>
      </c>
      <c r="F82" t="s">
        <v>0</v>
      </c>
      <c r="G82">
        <v>3</v>
      </c>
      <c r="H82">
        <v>2004</v>
      </c>
      <c r="I82" t="s">
        <v>22</v>
      </c>
      <c r="J82" t="s">
        <v>33</v>
      </c>
      <c r="K82" t="s">
        <v>183</v>
      </c>
      <c r="L82" t="s">
        <v>184</v>
      </c>
      <c r="M82" t="s">
        <v>185</v>
      </c>
      <c r="N82" t="s">
        <v>186</v>
      </c>
      <c r="O82" t="s">
        <v>187</v>
      </c>
      <c r="P82" t="s">
        <v>5</v>
      </c>
      <c r="Q82" t="s">
        <v>6</v>
      </c>
      <c r="R82" t="s">
        <v>333</v>
      </c>
      <c r="S82" t="s">
        <v>17</v>
      </c>
      <c r="T82" t="s">
        <v>322</v>
      </c>
      <c r="U82">
        <f>Sales_Order[[#This Row],[Quantity ordered]]*Sales_Order[[#This Row],[Price each]]</f>
        <v>4400</v>
      </c>
    </row>
    <row r="83" spans="1:21" x14ac:dyDescent="0.3">
      <c r="A83">
        <v>10305</v>
      </c>
      <c r="B83">
        <v>38</v>
      </c>
      <c r="C83">
        <v>100</v>
      </c>
      <c r="D83">
        <v>13</v>
      </c>
      <c r="E83" s="1">
        <v>38273</v>
      </c>
      <c r="F83" t="s">
        <v>0</v>
      </c>
      <c r="G83">
        <v>4</v>
      </c>
      <c r="H83">
        <v>2004</v>
      </c>
      <c r="I83" t="s">
        <v>22</v>
      </c>
      <c r="J83" t="s">
        <v>33</v>
      </c>
      <c r="K83" t="s">
        <v>178</v>
      </c>
      <c r="L83" t="s">
        <v>179</v>
      </c>
      <c r="M83" t="s">
        <v>180</v>
      </c>
      <c r="N83" t="s">
        <v>181</v>
      </c>
      <c r="O83" t="s">
        <v>182</v>
      </c>
      <c r="P83" t="s">
        <v>5</v>
      </c>
      <c r="Q83" t="s">
        <v>6</v>
      </c>
      <c r="R83" t="s">
        <v>332</v>
      </c>
      <c r="S83" t="s">
        <v>8</v>
      </c>
      <c r="T83" t="s">
        <v>324</v>
      </c>
      <c r="U83">
        <f>Sales_Order[[#This Row],[Quantity ordered]]*Sales_Order[[#This Row],[Price each]]</f>
        <v>3800</v>
      </c>
    </row>
    <row r="84" spans="1:21" x14ac:dyDescent="0.3">
      <c r="A84">
        <v>10313</v>
      </c>
      <c r="B84">
        <v>40</v>
      </c>
      <c r="C84">
        <v>100</v>
      </c>
      <c r="D84">
        <v>7</v>
      </c>
      <c r="E84" s="1">
        <v>38282</v>
      </c>
      <c r="F84" t="s">
        <v>0</v>
      </c>
      <c r="G84">
        <v>4</v>
      </c>
      <c r="H84">
        <v>2004</v>
      </c>
      <c r="I84" t="s">
        <v>22</v>
      </c>
      <c r="J84" t="s">
        <v>33</v>
      </c>
      <c r="K84" t="s">
        <v>205</v>
      </c>
      <c r="L84" t="s">
        <v>206</v>
      </c>
      <c r="M84" t="s">
        <v>207</v>
      </c>
      <c r="N84" t="s">
        <v>208</v>
      </c>
      <c r="O84" t="s">
        <v>209</v>
      </c>
      <c r="P84" t="s">
        <v>210</v>
      </c>
      <c r="Q84" t="s">
        <v>6</v>
      </c>
      <c r="R84" t="s">
        <v>343</v>
      </c>
      <c r="S84" t="s">
        <v>8</v>
      </c>
      <c r="T84" t="s">
        <v>324</v>
      </c>
      <c r="U84">
        <f>Sales_Order[[#This Row],[Quantity ordered]]*Sales_Order[[#This Row],[Price each]]</f>
        <v>4000</v>
      </c>
    </row>
    <row r="85" spans="1:21" x14ac:dyDescent="0.3">
      <c r="A85">
        <v>10322</v>
      </c>
      <c r="B85">
        <v>46</v>
      </c>
      <c r="C85">
        <v>61.99</v>
      </c>
      <c r="D85">
        <v>8</v>
      </c>
      <c r="E85" s="1">
        <v>38088</v>
      </c>
      <c r="F85" t="s">
        <v>0</v>
      </c>
      <c r="G85">
        <v>4</v>
      </c>
      <c r="H85">
        <v>2004</v>
      </c>
      <c r="I85" t="s">
        <v>22</v>
      </c>
      <c r="J85" t="s">
        <v>33</v>
      </c>
      <c r="K85" t="s">
        <v>228</v>
      </c>
      <c r="L85" t="s">
        <v>229</v>
      </c>
      <c r="M85" t="s">
        <v>230</v>
      </c>
      <c r="N85" t="s">
        <v>231</v>
      </c>
      <c r="O85" t="s">
        <v>232</v>
      </c>
      <c r="P85" t="s">
        <v>5</v>
      </c>
      <c r="Q85" t="s">
        <v>6</v>
      </c>
      <c r="R85" t="s">
        <v>350</v>
      </c>
      <c r="S85" t="s">
        <v>7</v>
      </c>
      <c r="T85" t="s">
        <v>334</v>
      </c>
      <c r="U85">
        <f>Sales_Order[[#This Row],[Quantity ordered]]*Sales_Order[[#This Row],[Price each]]</f>
        <v>2851.54</v>
      </c>
    </row>
    <row r="86" spans="1:21" x14ac:dyDescent="0.3">
      <c r="A86">
        <v>10347</v>
      </c>
      <c r="B86">
        <v>27</v>
      </c>
      <c r="C86">
        <v>100</v>
      </c>
      <c r="D86">
        <v>2</v>
      </c>
      <c r="E86" s="1">
        <v>38320</v>
      </c>
      <c r="F86" t="s">
        <v>0</v>
      </c>
      <c r="G86">
        <v>4</v>
      </c>
      <c r="H86">
        <v>2004</v>
      </c>
      <c r="I86" t="s">
        <v>22</v>
      </c>
      <c r="J86" t="s">
        <v>33</v>
      </c>
      <c r="K86" t="s">
        <v>9</v>
      </c>
      <c r="L86" t="s">
        <v>10</v>
      </c>
      <c r="M86" t="s">
        <v>11</v>
      </c>
      <c r="N86" t="s">
        <v>12</v>
      </c>
      <c r="O86" t="s">
        <v>134</v>
      </c>
      <c r="P86" t="s">
        <v>13</v>
      </c>
      <c r="Q86" t="s">
        <v>14</v>
      </c>
      <c r="R86" t="s">
        <v>325</v>
      </c>
      <c r="S86" t="s">
        <v>8</v>
      </c>
      <c r="T86" t="s">
        <v>334</v>
      </c>
      <c r="U86">
        <f>Sales_Order[[#This Row],[Quantity ordered]]*Sales_Order[[#This Row],[Price each]]</f>
        <v>2700</v>
      </c>
    </row>
    <row r="87" spans="1:21" x14ac:dyDescent="0.3">
      <c r="A87">
        <v>10357</v>
      </c>
      <c r="B87">
        <v>43</v>
      </c>
      <c r="C87">
        <v>100</v>
      </c>
      <c r="D87">
        <v>9</v>
      </c>
      <c r="E87" s="1">
        <v>38272</v>
      </c>
      <c r="F87" t="s">
        <v>0</v>
      </c>
      <c r="G87">
        <v>4</v>
      </c>
      <c r="H87">
        <v>2004</v>
      </c>
      <c r="I87" t="s">
        <v>22</v>
      </c>
      <c r="J87" t="s">
        <v>33</v>
      </c>
      <c r="K87" t="s">
        <v>225</v>
      </c>
      <c r="L87" t="s">
        <v>226</v>
      </c>
      <c r="M87" t="s">
        <v>227</v>
      </c>
      <c r="N87" t="s">
        <v>161</v>
      </c>
      <c r="O87" t="s">
        <v>177</v>
      </c>
      <c r="P87" t="s">
        <v>5</v>
      </c>
      <c r="Q87" t="s">
        <v>6</v>
      </c>
      <c r="R87" t="s">
        <v>349</v>
      </c>
      <c r="S87" t="s">
        <v>8</v>
      </c>
      <c r="T87" t="s">
        <v>336</v>
      </c>
      <c r="U87">
        <f>Sales_Order[[#This Row],[Quantity ordered]]*Sales_Order[[#This Row],[Price each]]</f>
        <v>4300</v>
      </c>
    </row>
    <row r="88" spans="1:21" x14ac:dyDescent="0.3">
      <c r="A88">
        <v>10370</v>
      </c>
      <c r="B88">
        <v>35</v>
      </c>
      <c r="C88">
        <v>65.63</v>
      </c>
      <c r="D88">
        <v>4</v>
      </c>
      <c r="E88" s="1">
        <v>38372</v>
      </c>
      <c r="F88" t="s">
        <v>0</v>
      </c>
      <c r="G88">
        <v>1</v>
      </c>
      <c r="H88">
        <v>2005</v>
      </c>
      <c r="I88" t="s">
        <v>22</v>
      </c>
      <c r="J88" t="s">
        <v>33</v>
      </c>
      <c r="K88" t="s">
        <v>26</v>
      </c>
      <c r="L88" t="s">
        <v>27</v>
      </c>
      <c r="M88" t="s">
        <v>28</v>
      </c>
      <c r="N88" t="s">
        <v>21</v>
      </c>
      <c r="O88" t="s">
        <v>137</v>
      </c>
      <c r="P88" t="s">
        <v>13</v>
      </c>
      <c r="Q88" t="s">
        <v>14</v>
      </c>
      <c r="R88" t="s">
        <v>352</v>
      </c>
      <c r="S88" t="s">
        <v>7</v>
      </c>
      <c r="T88" t="s">
        <v>345</v>
      </c>
      <c r="U88">
        <f>Sales_Order[[#This Row],[Quantity ordered]]*Sales_Order[[#This Row],[Price each]]</f>
        <v>2297.0499999999997</v>
      </c>
    </row>
    <row r="89" spans="1:21" x14ac:dyDescent="0.3">
      <c r="A89">
        <v>10391</v>
      </c>
      <c r="B89">
        <v>37</v>
      </c>
      <c r="C89">
        <v>46.9</v>
      </c>
      <c r="D89">
        <v>7</v>
      </c>
      <c r="E89" s="1">
        <v>38598</v>
      </c>
      <c r="F89" t="s">
        <v>0</v>
      </c>
      <c r="G89">
        <v>1</v>
      </c>
      <c r="H89">
        <v>2005</v>
      </c>
      <c r="I89" t="s">
        <v>22</v>
      </c>
      <c r="J89" t="s">
        <v>33</v>
      </c>
      <c r="K89" t="s">
        <v>26</v>
      </c>
      <c r="L89" t="s">
        <v>27</v>
      </c>
      <c r="M89" t="s">
        <v>28</v>
      </c>
      <c r="N89" t="s">
        <v>21</v>
      </c>
      <c r="O89" t="s">
        <v>137</v>
      </c>
      <c r="P89" t="s">
        <v>13</v>
      </c>
      <c r="Q89" t="s">
        <v>14</v>
      </c>
      <c r="R89" t="s">
        <v>352</v>
      </c>
      <c r="S89" t="s">
        <v>7</v>
      </c>
      <c r="T89" t="s">
        <v>338</v>
      </c>
      <c r="U89">
        <f>Sales_Order[[#This Row],[Quantity ordered]]*Sales_Order[[#This Row],[Price each]]</f>
        <v>1735.3</v>
      </c>
    </row>
    <row r="90" spans="1:21" x14ac:dyDescent="0.3">
      <c r="A90">
        <v>10411</v>
      </c>
      <c r="B90">
        <v>27</v>
      </c>
      <c r="C90">
        <v>100</v>
      </c>
      <c r="D90">
        <v>2</v>
      </c>
      <c r="E90" s="1">
        <v>38357</v>
      </c>
      <c r="F90" t="s">
        <v>0</v>
      </c>
      <c r="G90">
        <v>2</v>
      </c>
      <c r="H90">
        <v>2005</v>
      </c>
      <c r="I90" t="s">
        <v>22</v>
      </c>
      <c r="J90" t="s">
        <v>33</v>
      </c>
      <c r="K90" t="s">
        <v>237</v>
      </c>
      <c r="L90" t="s">
        <v>238</v>
      </c>
      <c r="M90" t="s">
        <v>239</v>
      </c>
      <c r="N90" t="s">
        <v>240</v>
      </c>
      <c r="O90" t="s">
        <v>241</v>
      </c>
      <c r="P90" t="s">
        <v>210</v>
      </c>
      <c r="Q90" t="s">
        <v>6</v>
      </c>
      <c r="R90" t="s">
        <v>353</v>
      </c>
      <c r="S90" t="s">
        <v>8</v>
      </c>
      <c r="T90" t="s">
        <v>329</v>
      </c>
      <c r="U90">
        <f>Sales_Order[[#This Row],[Quantity ordered]]*Sales_Order[[#This Row],[Price each]]</f>
        <v>2700</v>
      </c>
    </row>
    <row r="91" spans="1:21" x14ac:dyDescent="0.3">
      <c r="A91">
        <v>10135</v>
      </c>
      <c r="B91">
        <v>42</v>
      </c>
      <c r="C91">
        <v>100</v>
      </c>
      <c r="D91">
        <v>7</v>
      </c>
      <c r="E91" s="1">
        <v>37659</v>
      </c>
      <c r="F91" t="s">
        <v>0</v>
      </c>
      <c r="G91">
        <v>3</v>
      </c>
      <c r="H91">
        <v>2003</v>
      </c>
      <c r="I91" t="s">
        <v>22</v>
      </c>
      <c r="J91" t="s">
        <v>34</v>
      </c>
      <c r="K91" t="s">
        <v>225</v>
      </c>
      <c r="L91" t="s">
        <v>226</v>
      </c>
      <c r="M91" t="s">
        <v>227</v>
      </c>
      <c r="N91" t="s">
        <v>161</v>
      </c>
      <c r="O91" t="s">
        <v>177</v>
      </c>
      <c r="P91" t="s">
        <v>5</v>
      </c>
      <c r="Q91" t="s">
        <v>6</v>
      </c>
      <c r="R91" t="s">
        <v>349</v>
      </c>
      <c r="S91" t="s">
        <v>17</v>
      </c>
      <c r="T91" t="s">
        <v>339</v>
      </c>
      <c r="U91">
        <f>Sales_Order[[#This Row],[Quantity ordered]]*Sales_Order[[#This Row],[Price each]]</f>
        <v>4200</v>
      </c>
    </row>
    <row r="92" spans="1:21" x14ac:dyDescent="0.3">
      <c r="A92">
        <v>10147</v>
      </c>
      <c r="B92">
        <v>48</v>
      </c>
      <c r="C92">
        <v>100</v>
      </c>
      <c r="D92">
        <v>7</v>
      </c>
      <c r="E92" s="1">
        <v>37750</v>
      </c>
      <c r="F92" t="s">
        <v>0</v>
      </c>
      <c r="G92">
        <v>3</v>
      </c>
      <c r="H92">
        <v>2003</v>
      </c>
      <c r="I92" t="s">
        <v>22</v>
      </c>
      <c r="J92" t="s">
        <v>34</v>
      </c>
      <c r="K92" t="s">
        <v>233</v>
      </c>
      <c r="L92" t="s">
        <v>234</v>
      </c>
      <c r="M92" t="s">
        <v>235</v>
      </c>
      <c r="N92" t="s">
        <v>181</v>
      </c>
      <c r="O92" t="s">
        <v>236</v>
      </c>
      <c r="P92" t="s">
        <v>5</v>
      </c>
      <c r="Q92" t="s">
        <v>6</v>
      </c>
      <c r="R92" t="s">
        <v>351</v>
      </c>
      <c r="S92" t="s">
        <v>17</v>
      </c>
      <c r="T92" t="s">
        <v>361</v>
      </c>
      <c r="U92">
        <f>Sales_Order[[#This Row],[Quantity ordered]]*Sales_Order[[#This Row],[Price each]]</f>
        <v>4800</v>
      </c>
    </row>
    <row r="93" spans="1:21" x14ac:dyDescent="0.3">
      <c r="A93">
        <v>10169</v>
      </c>
      <c r="B93">
        <v>30</v>
      </c>
      <c r="C93">
        <v>100</v>
      </c>
      <c r="D93">
        <v>2</v>
      </c>
      <c r="E93" s="1">
        <v>37722</v>
      </c>
      <c r="F93" t="s">
        <v>0</v>
      </c>
      <c r="G93">
        <v>4</v>
      </c>
      <c r="H93">
        <v>2003</v>
      </c>
      <c r="I93" t="s">
        <v>22</v>
      </c>
      <c r="J93" t="s">
        <v>34</v>
      </c>
      <c r="K93" t="s">
        <v>26</v>
      </c>
      <c r="L93" t="s">
        <v>27</v>
      </c>
      <c r="M93" t="s">
        <v>28</v>
      </c>
      <c r="N93" t="s">
        <v>21</v>
      </c>
      <c r="O93" t="s">
        <v>137</v>
      </c>
      <c r="P93" t="s">
        <v>13</v>
      </c>
      <c r="Q93" t="s">
        <v>14</v>
      </c>
      <c r="R93" t="s">
        <v>352</v>
      </c>
      <c r="S93" t="s">
        <v>8</v>
      </c>
      <c r="T93" t="s">
        <v>334</v>
      </c>
      <c r="U93">
        <f>Sales_Order[[#This Row],[Quantity ordered]]*Sales_Order[[#This Row],[Price each]]</f>
        <v>3000</v>
      </c>
    </row>
    <row r="94" spans="1:21" x14ac:dyDescent="0.3">
      <c r="A94">
        <v>10276</v>
      </c>
      <c r="B94">
        <v>50</v>
      </c>
      <c r="C94">
        <v>100</v>
      </c>
      <c r="D94">
        <v>3</v>
      </c>
      <c r="E94" s="1">
        <v>38025</v>
      </c>
      <c r="F94" t="s">
        <v>0</v>
      </c>
      <c r="G94">
        <v>3</v>
      </c>
      <c r="H94">
        <v>2004</v>
      </c>
      <c r="I94" t="s">
        <v>22</v>
      </c>
      <c r="J94" t="s">
        <v>34</v>
      </c>
      <c r="K94" t="s">
        <v>279</v>
      </c>
      <c r="L94" t="s">
        <v>280</v>
      </c>
      <c r="M94" t="s">
        <v>235</v>
      </c>
      <c r="N94" t="s">
        <v>181</v>
      </c>
      <c r="O94" t="s">
        <v>236</v>
      </c>
      <c r="P94" t="s">
        <v>5</v>
      </c>
      <c r="Q94" t="s">
        <v>6</v>
      </c>
      <c r="R94" t="s">
        <v>365</v>
      </c>
      <c r="S94" t="s">
        <v>17</v>
      </c>
      <c r="T94" t="s">
        <v>322</v>
      </c>
      <c r="U94">
        <f>Sales_Order[[#This Row],[Quantity ordered]]*Sales_Order[[#This Row],[Price each]]</f>
        <v>5000</v>
      </c>
    </row>
    <row r="95" spans="1:21" x14ac:dyDescent="0.3">
      <c r="A95">
        <v>10329</v>
      </c>
      <c r="B95">
        <v>41</v>
      </c>
      <c r="C95">
        <v>71.47</v>
      </c>
      <c r="D95">
        <v>5</v>
      </c>
      <c r="E95" s="1">
        <v>38306</v>
      </c>
      <c r="F95" t="s">
        <v>0</v>
      </c>
      <c r="G95">
        <v>4</v>
      </c>
      <c r="H95">
        <v>2004</v>
      </c>
      <c r="I95" t="s">
        <v>22</v>
      </c>
      <c r="J95" t="s">
        <v>34</v>
      </c>
      <c r="K95" t="s">
        <v>155</v>
      </c>
      <c r="L95" t="s">
        <v>156</v>
      </c>
      <c r="M95" t="s">
        <v>3</v>
      </c>
      <c r="N95" t="s">
        <v>4</v>
      </c>
      <c r="O95" t="s">
        <v>135</v>
      </c>
      <c r="P95" t="s">
        <v>5</v>
      </c>
      <c r="Q95" t="s">
        <v>6</v>
      </c>
      <c r="R95" t="s">
        <v>319</v>
      </c>
      <c r="S95" t="s">
        <v>7</v>
      </c>
      <c r="T95" t="s">
        <v>334</v>
      </c>
      <c r="U95">
        <f>Sales_Order[[#This Row],[Quantity ordered]]*Sales_Order[[#This Row],[Price each]]</f>
        <v>2930.27</v>
      </c>
    </row>
    <row r="96" spans="1:21" x14ac:dyDescent="0.3">
      <c r="A96">
        <v>10127</v>
      </c>
      <c r="B96">
        <v>46</v>
      </c>
      <c r="C96">
        <v>100</v>
      </c>
      <c r="D96">
        <v>2</v>
      </c>
      <c r="E96" s="1">
        <v>37686</v>
      </c>
      <c r="F96" t="s">
        <v>0</v>
      </c>
      <c r="G96">
        <v>2</v>
      </c>
      <c r="H96">
        <v>2003</v>
      </c>
      <c r="I96" t="s">
        <v>22</v>
      </c>
      <c r="J96" t="s">
        <v>35</v>
      </c>
      <c r="K96" t="s">
        <v>36</v>
      </c>
      <c r="L96" t="s">
        <v>37</v>
      </c>
      <c r="M96" t="s">
        <v>3</v>
      </c>
      <c r="N96" t="s">
        <v>4</v>
      </c>
      <c r="O96" t="s">
        <v>135</v>
      </c>
      <c r="P96" t="s">
        <v>5</v>
      </c>
      <c r="Q96" t="s">
        <v>6</v>
      </c>
      <c r="R96" t="s">
        <v>366</v>
      </c>
      <c r="S96" t="s">
        <v>17</v>
      </c>
      <c r="T96" t="s">
        <v>331</v>
      </c>
      <c r="U96">
        <f>Sales_Order[[#This Row],[Quantity ordered]]*Sales_Order[[#This Row],[Price each]]</f>
        <v>4600</v>
      </c>
    </row>
    <row r="97" spans="1:21" x14ac:dyDescent="0.3">
      <c r="A97">
        <v>10142</v>
      </c>
      <c r="B97">
        <v>33</v>
      </c>
      <c r="C97">
        <v>100</v>
      </c>
      <c r="D97">
        <v>12</v>
      </c>
      <c r="E97" s="1">
        <v>37841</v>
      </c>
      <c r="F97" t="s">
        <v>0</v>
      </c>
      <c r="G97">
        <v>3</v>
      </c>
      <c r="H97">
        <v>2003</v>
      </c>
      <c r="I97" t="s">
        <v>22</v>
      </c>
      <c r="J97" t="s">
        <v>35</v>
      </c>
      <c r="K97" t="s">
        <v>225</v>
      </c>
      <c r="L97" t="s">
        <v>226</v>
      </c>
      <c r="M97" t="s">
        <v>227</v>
      </c>
      <c r="N97" t="s">
        <v>161</v>
      </c>
      <c r="O97" t="s">
        <v>177</v>
      </c>
      <c r="P97" t="s">
        <v>5</v>
      </c>
      <c r="Q97" t="s">
        <v>6</v>
      </c>
      <c r="R97" t="s">
        <v>349</v>
      </c>
      <c r="S97" t="s">
        <v>17</v>
      </c>
      <c r="T97" t="s">
        <v>322</v>
      </c>
      <c r="U97">
        <f>Sales_Order[[#This Row],[Quantity ordered]]*Sales_Order[[#This Row],[Price each]]</f>
        <v>3300</v>
      </c>
    </row>
    <row r="98" spans="1:21" x14ac:dyDescent="0.3">
      <c r="A98">
        <v>10185</v>
      </c>
      <c r="B98">
        <v>21</v>
      </c>
      <c r="C98">
        <v>100</v>
      </c>
      <c r="D98">
        <v>13</v>
      </c>
      <c r="E98" s="1">
        <v>37939</v>
      </c>
      <c r="F98" t="s">
        <v>0</v>
      </c>
      <c r="G98">
        <v>4</v>
      </c>
      <c r="H98">
        <v>2003</v>
      </c>
      <c r="I98" t="s">
        <v>22</v>
      </c>
      <c r="J98" t="s">
        <v>35</v>
      </c>
      <c r="K98" t="s">
        <v>252</v>
      </c>
      <c r="L98" t="s">
        <v>253</v>
      </c>
      <c r="M98" t="s">
        <v>191</v>
      </c>
      <c r="N98" t="s">
        <v>181</v>
      </c>
      <c r="O98" t="s">
        <v>192</v>
      </c>
      <c r="P98" t="s">
        <v>5</v>
      </c>
      <c r="Q98" t="s">
        <v>6</v>
      </c>
      <c r="R98" t="s">
        <v>357</v>
      </c>
      <c r="S98" t="s">
        <v>8</v>
      </c>
      <c r="T98" t="s">
        <v>334</v>
      </c>
      <c r="U98">
        <f>Sales_Order[[#This Row],[Quantity ordered]]*Sales_Order[[#This Row],[Price each]]</f>
        <v>2100</v>
      </c>
    </row>
    <row r="99" spans="1:21" x14ac:dyDescent="0.3">
      <c r="A99">
        <v>10196</v>
      </c>
      <c r="B99">
        <v>47</v>
      </c>
      <c r="C99">
        <v>100</v>
      </c>
      <c r="D99">
        <v>5</v>
      </c>
      <c r="E99" s="1">
        <v>37951</v>
      </c>
      <c r="F99" t="s">
        <v>0</v>
      </c>
      <c r="G99">
        <v>4</v>
      </c>
      <c r="H99">
        <v>2003</v>
      </c>
      <c r="I99" t="s">
        <v>22</v>
      </c>
      <c r="J99" t="s">
        <v>35</v>
      </c>
      <c r="K99" t="s">
        <v>216</v>
      </c>
      <c r="L99" t="s">
        <v>217</v>
      </c>
      <c r="M99" t="s">
        <v>218</v>
      </c>
      <c r="N99" t="s">
        <v>176</v>
      </c>
      <c r="O99" t="s">
        <v>219</v>
      </c>
      <c r="P99" t="s">
        <v>5</v>
      </c>
      <c r="Q99" t="s">
        <v>6</v>
      </c>
      <c r="R99" t="s">
        <v>347</v>
      </c>
      <c r="S99" t="s">
        <v>17</v>
      </c>
      <c r="T99" t="s">
        <v>334</v>
      </c>
      <c r="U99">
        <f>Sales_Order[[#This Row],[Quantity ordered]]*Sales_Order[[#This Row],[Price each]]</f>
        <v>4700</v>
      </c>
    </row>
    <row r="100" spans="1:21" x14ac:dyDescent="0.3">
      <c r="A100">
        <v>10272</v>
      </c>
      <c r="B100">
        <v>35</v>
      </c>
      <c r="C100">
        <v>100</v>
      </c>
      <c r="D100">
        <v>2</v>
      </c>
      <c r="E100" s="1">
        <v>38188</v>
      </c>
      <c r="F100" t="s">
        <v>0</v>
      </c>
      <c r="G100">
        <v>3</v>
      </c>
      <c r="H100">
        <v>2004</v>
      </c>
      <c r="I100" t="s">
        <v>22</v>
      </c>
      <c r="J100" t="s">
        <v>35</v>
      </c>
      <c r="K100" t="s">
        <v>183</v>
      </c>
      <c r="L100" t="s">
        <v>184</v>
      </c>
      <c r="M100" t="s">
        <v>185</v>
      </c>
      <c r="N100" t="s">
        <v>186</v>
      </c>
      <c r="O100" t="s">
        <v>187</v>
      </c>
      <c r="P100" t="s">
        <v>5</v>
      </c>
      <c r="Q100" t="s">
        <v>6</v>
      </c>
      <c r="R100" t="s">
        <v>333</v>
      </c>
      <c r="S100" t="s">
        <v>8</v>
      </c>
      <c r="T100" t="s">
        <v>339</v>
      </c>
      <c r="U100">
        <f>Sales_Order[[#This Row],[Quantity ordered]]*Sales_Order[[#This Row],[Price each]]</f>
        <v>3500</v>
      </c>
    </row>
    <row r="101" spans="1:21" x14ac:dyDescent="0.3">
      <c r="A101">
        <v>10282</v>
      </c>
      <c r="B101">
        <v>41</v>
      </c>
      <c r="C101">
        <v>100</v>
      </c>
      <c r="D101">
        <v>5</v>
      </c>
      <c r="E101" s="1">
        <v>38219</v>
      </c>
      <c r="F101" t="s">
        <v>0</v>
      </c>
      <c r="G101">
        <v>3</v>
      </c>
      <c r="H101">
        <v>2004</v>
      </c>
      <c r="I101" t="s">
        <v>22</v>
      </c>
      <c r="J101" t="s">
        <v>35</v>
      </c>
      <c r="K101" t="s">
        <v>225</v>
      </c>
      <c r="L101" t="s">
        <v>226</v>
      </c>
      <c r="M101" t="s">
        <v>227</v>
      </c>
      <c r="N101" t="s">
        <v>161</v>
      </c>
      <c r="O101" t="s">
        <v>177</v>
      </c>
      <c r="P101" t="s">
        <v>5</v>
      </c>
      <c r="Q101" t="s">
        <v>6</v>
      </c>
      <c r="R101" t="s">
        <v>349</v>
      </c>
      <c r="S101" t="s">
        <v>17</v>
      </c>
      <c r="T101" t="s">
        <v>322</v>
      </c>
      <c r="U101">
        <f>Sales_Order[[#This Row],[Quantity ordered]]*Sales_Order[[#This Row],[Price each]]</f>
        <v>4100</v>
      </c>
    </row>
    <row r="102" spans="1:21" x14ac:dyDescent="0.3">
      <c r="A102">
        <v>10371</v>
      </c>
      <c r="B102">
        <v>32</v>
      </c>
      <c r="C102">
        <v>100</v>
      </c>
      <c r="D102">
        <v>6</v>
      </c>
      <c r="E102" s="1">
        <v>38375</v>
      </c>
      <c r="F102" t="s">
        <v>0</v>
      </c>
      <c r="G102">
        <v>1</v>
      </c>
      <c r="H102">
        <v>2005</v>
      </c>
      <c r="I102" t="s">
        <v>22</v>
      </c>
      <c r="J102" t="s">
        <v>35</v>
      </c>
      <c r="K102" t="s">
        <v>225</v>
      </c>
      <c r="L102" t="s">
        <v>226</v>
      </c>
      <c r="M102" t="s">
        <v>227</v>
      </c>
      <c r="N102" t="s">
        <v>161</v>
      </c>
      <c r="O102" t="s">
        <v>177</v>
      </c>
      <c r="P102" t="s">
        <v>5</v>
      </c>
      <c r="Q102" t="s">
        <v>6</v>
      </c>
      <c r="R102" t="s">
        <v>349</v>
      </c>
      <c r="S102" t="s">
        <v>8</v>
      </c>
      <c r="T102" t="s">
        <v>345</v>
      </c>
      <c r="U102">
        <f>Sales_Order[[#This Row],[Quantity ordered]]*Sales_Order[[#This Row],[Price each]]</f>
        <v>3200</v>
      </c>
    </row>
    <row r="103" spans="1:21" x14ac:dyDescent="0.3">
      <c r="A103">
        <v>10382</v>
      </c>
      <c r="B103">
        <v>34</v>
      </c>
      <c r="C103">
        <v>100</v>
      </c>
      <c r="D103">
        <v>10</v>
      </c>
      <c r="E103" s="1">
        <v>38400</v>
      </c>
      <c r="F103" t="s">
        <v>0</v>
      </c>
      <c r="G103">
        <v>1</v>
      </c>
      <c r="H103">
        <v>2005</v>
      </c>
      <c r="I103" t="s">
        <v>22</v>
      </c>
      <c r="J103" t="s">
        <v>35</v>
      </c>
      <c r="K103" t="s">
        <v>225</v>
      </c>
      <c r="L103" t="s">
        <v>226</v>
      </c>
      <c r="M103" t="s">
        <v>227</v>
      </c>
      <c r="N103" t="s">
        <v>161</v>
      </c>
      <c r="O103" t="s">
        <v>177</v>
      </c>
      <c r="P103" t="s">
        <v>5</v>
      </c>
      <c r="Q103" t="s">
        <v>6</v>
      </c>
      <c r="R103" t="s">
        <v>349</v>
      </c>
      <c r="S103" t="s">
        <v>8</v>
      </c>
      <c r="T103" t="s">
        <v>320</v>
      </c>
      <c r="U103">
        <f>Sales_Order[[#This Row],[Quantity ordered]]*Sales_Order[[#This Row],[Price each]]</f>
        <v>3400</v>
      </c>
    </row>
    <row r="104" spans="1:21" x14ac:dyDescent="0.3">
      <c r="A104">
        <v>10413</v>
      </c>
      <c r="B104">
        <v>36</v>
      </c>
      <c r="C104">
        <v>100</v>
      </c>
      <c r="D104">
        <v>2</v>
      </c>
      <c r="E104" s="1">
        <v>38477</v>
      </c>
      <c r="F104" t="s">
        <v>0</v>
      </c>
      <c r="G104">
        <v>2</v>
      </c>
      <c r="H104">
        <v>2005</v>
      </c>
      <c r="I104" t="s">
        <v>22</v>
      </c>
      <c r="J104" t="s">
        <v>35</v>
      </c>
      <c r="K104" t="s">
        <v>173</v>
      </c>
      <c r="L104" t="s">
        <v>174</v>
      </c>
      <c r="M104" t="s">
        <v>175</v>
      </c>
      <c r="N104" t="s">
        <v>176</v>
      </c>
      <c r="O104" t="s">
        <v>177</v>
      </c>
      <c r="P104" t="s">
        <v>5</v>
      </c>
      <c r="Q104" t="s">
        <v>6</v>
      </c>
      <c r="R104" t="s">
        <v>330</v>
      </c>
      <c r="S104" t="s">
        <v>17</v>
      </c>
      <c r="T104" t="s">
        <v>329</v>
      </c>
      <c r="U104">
        <f>Sales_Order[[#This Row],[Quantity ordered]]*Sales_Order[[#This Row],[Price each]]</f>
        <v>3600</v>
      </c>
    </row>
    <row r="105" spans="1:21" x14ac:dyDescent="0.3">
      <c r="A105">
        <v>10113</v>
      </c>
      <c r="B105">
        <v>21</v>
      </c>
      <c r="C105">
        <v>100</v>
      </c>
      <c r="D105">
        <v>2</v>
      </c>
      <c r="E105" s="1">
        <v>37706</v>
      </c>
      <c r="F105" t="s">
        <v>0</v>
      </c>
      <c r="G105">
        <v>1</v>
      </c>
      <c r="H105">
        <v>2003</v>
      </c>
      <c r="I105" t="s">
        <v>38</v>
      </c>
      <c r="J105" t="s">
        <v>39</v>
      </c>
      <c r="K105" t="s">
        <v>225</v>
      </c>
      <c r="L105" t="s">
        <v>226</v>
      </c>
      <c r="M105" t="s">
        <v>227</v>
      </c>
      <c r="N105" t="s">
        <v>161</v>
      </c>
      <c r="O105" t="s">
        <v>177</v>
      </c>
      <c r="P105" t="s">
        <v>5</v>
      </c>
      <c r="Q105" t="s">
        <v>6</v>
      </c>
      <c r="R105" t="s">
        <v>349</v>
      </c>
      <c r="S105" t="s">
        <v>8</v>
      </c>
      <c r="T105" t="s">
        <v>338</v>
      </c>
      <c r="U105">
        <f>Sales_Order[[#This Row],[Quantity ordered]]*Sales_Order[[#This Row],[Price each]]</f>
        <v>2100</v>
      </c>
    </row>
    <row r="106" spans="1:21" x14ac:dyDescent="0.3">
      <c r="A106">
        <v>10140</v>
      </c>
      <c r="B106">
        <v>38</v>
      </c>
      <c r="C106">
        <v>100</v>
      </c>
      <c r="D106">
        <v>8</v>
      </c>
      <c r="E106" s="1">
        <v>37826</v>
      </c>
      <c r="F106" t="s">
        <v>0</v>
      </c>
      <c r="G106">
        <v>3</v>
      </c>
      <c r="H106">
        <v>2003</v>
      </c>
      <c r="I106" t="s">
        <v>38</v>
      </c>
      <c r="J106" t="s">
        <v>39</v>
      </c>
      <c r="K106" t="s">
        <v>163</v>
      </c>
      <c r="L106" t="s">
        <v>164</v>
      </c>
      <c r="M106" t="s">
        <v>165</v>
      </c>
      <c r="N106" t="s">
        <v>161</v>
      </c>
      <c r="O106" t="s">
        <v>166</v>
      </c>
      <c r="P106" t="s">
        <v>5</v>
      </c>
      <c r="Q106" t="s">
        <v>6</v>
      </c>
      <c r="R106" t="s">
        <v>323</v>
      </c>
      <c r="S106" t="s">
        <v>8</v>
      </c>
      <c r="T106" t="s">
        <v>339</v>
      </c>
      <c r="U106">
        <f>Sales_Order[[#This Row],[Quantity ordered]]*Sales_Order[[#This Row],[Price each]]</f>
        <v>3800</v>
      </c>
    </row>
    <row r="107" spans="1:21" x14ac:dyDescent="0.3">
      <c r="A107">
        <v>10174</v>
      </c>
      <c r="B107">
        <v>43</v>
      </c>
      <c r="C107">
        <v>100</v>
      </c>
      <c r="D107">
        <v>1</v>
      </c>
      <c r="E107" s="1">
        <v>37783</v>
      </c>
      <c r="F107" t="s">
        <v>0</v>
      </c>
      <c r="G107">
        <v>4</v>
      </c>
      <c r="H107">
        <v>2003</v>
      </c>
      <c r="I107" t="s">
        <v>38</v>
      </c>
      <c r="J107" t="s">
        <v>39</v>
      </c>
      <c r="K107" t="s">
        <v>196</v>
      </c>
      <c r="L107" t="s">
        <v>197</v>
      </c>
      <c r="M107" t="s">
        <v>198</v>
      </c>
      <c r="N107" t="s">
        <v>199</v>
      </c>
      <c r="O107" t="s">
        <v>200</v>
      </c>
      <c r="P107" t="s">
        <v>13</v>
      </c>
      <c r="Q107" t="s">
        <v>14</v>
      </c>
      <c r="R107" t="s">
        <v>341</v>
      </c>
      <c r="S107" t="s">
        <v>8</v>
      </c>
      <c r="T107" t="s">
        <v>334</v>
      </c>
      <c r="U107">
        <f>Sales_Order[[#This Row],[Quantity ordered]]*Sales_Order[[#This Row],[Price each]]</f>
        <v>4300</v>
      </c>
    </row>
    <row r="108" spans="1:21" x14ac:dyDescent="0.3">
      <c r="A108">
        <v>10183</v>
      </c>
      <c r="B108">
        <v>41</v>
      </c>
      <c r="C108">
        <v>100</v>
      </c>
      <c r="D108">
        <v>5</v>
      </c>
      <c r="E108" s="1">
        <v>37938</v>
      </c>
      <c r="F108" t="s">
        <v>0</v>
      </c>
      <c r="G108">
        <v>4</v>
      </c>
      <c r="H108">
        <v>2003</v>
      </c>
      <c r="I108" t="s">
        <v>38</v>
      </c>
      <c r="J108" t="s">
        <v>39</v>
      </c>
      <c r="K108" t="s">
        <v>201</v>
      </c>
      <c r="L108" t="s">
        <v>202</v>
      </c>
      <c r="M108" t="s">
        <v>203</v>
      </c>
      <c r="N108" t="s">
        <v>186</v>
      </c>
      <c r="O108" t="s">
        <v>204</v>
      </c>
      <c r="P108" t="s">
        <v>5</v>
      </c>
      <c r="Q108" t="s">
        <v>6</v>
      </c>
      <c r="R108" t="s">
        <v>342</v>
      </c>
      <c r="S108" t="s">
        <v>8</v>
      </c>
      <c r="T108" t="s">
        <v>334</v>
      </c>
      <c r="U108">
        <f>Sales_Order[[#This Row],[Quantity ordered]]*Sales_Order[[#This Row],[Price each]]</f>
        <v>4100</v>
      </c>
    </row>
    <row r="109" spans="1:21" x14ac:dyDescent="0.3">
      <c r="A109">
        <v>10206</v>
      </c>
      <c r="B109">
        <v>28</v>
      </c>
      <c r="C109">
        <v>100</v>
      </c>
      <c r="D109">
        <v>3</v>
      </c>
      <c r="E109" s="1">
        <v>37753</v>
      </c>
      <c r="F109" t="s">
        <v>0</v>
      </c>
      <c r="G109">
        <v>4</v>
      </c>
      <c r="H109">
        <v>2003</v>
      </c>
      <c r="I109" t="s">
        <v>38</v>
      </c>
      <c r="J109" t="s">
        <v>39</v>
      </c>
      <c r="K109" t="s">
        <v>205</v>
      </c>
      <c r="L109" t="s">
        <v>206</v>
      </c>
      <c r="M109" t="s">
        <v>207</v>
      </c>
      <c r="N109" t="s">
        <v>208</v>
      </c>
      <c r="O109" t="s">
        <v>209</v>
      </c>
      <c r="P109" t="s">
        <v>210</v>
      </c>
      <c r="Q109" t="s">
        <v>6</v>
      </c>
      <c r="R109" t="s">
        <v>343</v>
      </c>
      <c r="S109" t="s">
        <v>8</v>
      </c>
      <c r="T109" t="s">
        <v>336</v>
      </c>
      <c r="U109">
        <f>Sales_Order[[#This Row],[Quantity ordered]]*Sales_Order[[#This Row],[Price each]]</f>
        <v>2800</v>
      </c>
    </row>
    <row r="110" spans="1:21" x14ac:dyDescent="0.3">
      <c r="A110">
        <v>10229</v>
      </c>
      <c r="B110">
        <v>25</v>
      </c>
      <c r="C110">
        <v>100</v>
      </c>
      <c r="D110">
        <v>13</v>
      </c>
      <c r="E110" s="1">
        <v>38294</v>
      </c>
      <c r="F110" t="s">
        <v>0</v>
      </c>
      <c r="G110">
        <v>1</v>
      </c>
      <c r="H110">
        <v>2004</v>
      </c>
      <c r="I110" t="s">
        <v>38</v>
      </c>
      <c r="J110" t="s">
        <v>39</v>
      </c>
      <c r="K110" t="s">
        <v>225</v>
      </c>
      <c r="L110" t="s">
        <v>226</v>
      </c>
      <c r="M110" t="s">
        <v>227</v>
      </c>
      <c r="N110" t="s">
        <v>161</v>
      </c>
      <c r="O110" t="s">
        <v>177</v>
      </c>
      <c r="P110" t="s">
        <v>5</v>
      </c>
      <c r="Q110" t="s">
        <v>6</v>
      </c>
      <c r="R110" t="s">
        <v>349</v>
      </c>
      <c r="S110" t="s">
        <v>8</v>
      </c>
      <c r="T110" t="s">
        <v>338</v>
      </c>
      <c r="U110">
        <f>Sales_Order[[#This Row],[Quantity ordered]]*Sales_Order[[#This Row],[Price each]]</f>
        <v>2500</v>
      </c>
    </row>
    <row r="111" spans="1:21" x14ac:dyDescent="0.3">
      <c r="A111">
        <v>10245</v>
      </c>
      <c r="B111">
        <v>38</v>
      </c>
      <c r="C111">
        <v>100</v>
      </c>
      <c r="D111">
        <v>6</v>
      </c>
      <c r="E111" s="1">
        <v>38082</v>
      </c>
      <c r="F111" t="s">
        <v>0</v>
      </c>
      <c r="G111">
        <v>2</v>
      </c>
      <c r="H111">
        <v>2004</v>
      </c>
      <c r="I111" t="s">
        <v>38</v>
      </c>
      <c r="J111" t="s">
        <v>39</v>
      </c>
      <c r="K111" t="s">
        <v>216</v>
      </c>
      <c r="L111" t="s">
        <v>217</v>
      </c>
      <c r="M111" t="s">
        <v>218</v>
      </c>
      <c r="N111" t="s">
        <v>176</v>
      </c>
      <c r="O111" t="s">
        <v>219</v>
      </c>
      <c r="P111" t="s">
        <v>5</v>
      </c>
      <c r="Q111" t="s">
        <v>6</v>
      </c>
      <c r="R111" t="s">
        <v>347</v>
      </c>
      <c r="S111" t="s">
        <v>8</v>
      </c>
      <c r="T111" t="s">
        <v>329</v>
      </c>
      <c r="U111">
        <f>Sales_Order[[#This Row],[Quantity ordered]]*Sales_Order[[#This Row],[Price each]]</f>
        <v>3800</v>
      </c>
    </row>
    <row r="112" spans="1:21" x14ac:dyDescent="0.3">
      <c r="A112">
        <v>10258</v>
      </c>
      <c r="B112">
        <v>41</v>
      </c>
      <c r="C112">
        <v>100</v>
      </c>
      <c r="D112">
        <v>3</v>
      </c>
      <c r="E112" s="1">
        <v>38153</v>
      </c>
      <c r="F112" t="s">
        <v>0</v>
      </c>
      <c r="G112">
        <v>2</v>
      </c>
      <c r="H112">
        <v>2004</v>
      </c>
      <c r="I112" t="s">
        <v>38</v>
      </c>
      <c r="J112" t="s">
        <v>39</v>
      </c>
      <c r="K112" t="s">
        <v>220</v>
      </c>
      <c r="L112" t="s">
        <v>221</v>
      </c>
      <c r="M112" t="s">
        <v>222</v>
      </c>
      <c r="N112" t="s">
        <v>223</v>
      </c>
      <c r="O112" t="s">
        <v>224</v>
      </c>
      <c r="P112" t="s">
        <v>195</v>
      </c>
      <c r="Q112" t="s">
        <v>195</v>
      </c>
      <c r="R112" t="s">
        <v>348</v>
      </c>
      <c r="S112" t="s">
        <v>8</v>
      </c>
      <c r="T112" t="s">
        <v>331</v>
      </c>
      <c r="U112">
        <f>Sales_Order[[#This Row],[Quantity ordered]]*Sales_Order[[#This Row],[Price each]]</f>
        <v>4100</v>
      </c>
    </row>
    <row r="113" spans="1:21" x14ac:dyDescent="0.3">
      <c r="A113">
        <v>10270</v>
      </c>
      <c r="B113">
        <v>28</v>
      </c>
      <c r="C113">
        <v>100</v>
      </c>
      <c r="D113">
        <v>6</v>
      </c>
      <c r="E113" s="1">
        <v>38187</v>
      </c>
      <c r="F113" t="s">
        <v>0</v>
      </c>
      <c r="G113">
        <v>3</v>
      </c>
      <c r="H113">
        <v>2004</v>
      </c>
      <c r="I113" t="s">
        <v>38</v>
      </c>
      <c r="J113" t="s">
        <v>39</v>
      </c>
      <c r="K113" t="s">
        <v>18</v>
      </c>
      <c r="L113" t="s">
        <v>19</v>
      </c>
      <c r="M113" t="s">
        <v>20</v>
      </c>
      <c r="N113" t="s">
        <v>21</v>
      </c>
      <c r="O113" t="s">
        <v>136</v>
      </c>
      <c r="P113" t="s">
        <v>13</v>
      </c>
      <c r="Q113" t="s">
        <v>14</v>
      </c>
      <c r="R113" t="s">
        <v>335</v>
      </c>
      <c r="S113" t="s">
        <v>8</v>
      </c>
      <c r="T113" t="s">
        <v>339</v>
      </c>
      <c r="U113">
        <f>Sales_Order[[#This Row],[Quantity ordered]]*Sales_Order[[#This Row],[Price each]]</f>
        <v>2800</v>
      </c>
    </row>
    <row r="114" spans="1:21" x14ac:dyDescent="0.3">
      <c r="A114">
        <v>10281</v>
      </c>
      <c r="B114">
        <v>25</v>
      </c>
      <c r="C114">
        <v>100</v>
      </c>
      <c r="D114">
        <v>13</v>
      </c>
      <c r="E114" s="1">
        <v>38218</v>
      </c>
      <c r="F114" t="s">
        <v>0</v>
      </c>
      <c r="G114">
        <v>3</v>
      </c>
      <c r="H114">
        <v>2004</v>
      </c>
      <c r="I114" t="s">
        <v>38</v>
      </c>
      <c r="J114" t="s">
        <v>39</v>
      </c>
      <c r="K114" t="s">
        <v>183</v>
      </c>
      <c r="L114" t="s">
        <v>184</v>
      </c>
      <c r="M114" t="s">
        <v>185</v>
      </c>
      <c r="N114" t="s">
        <v>186</v>
      </c>
      <c r="O114" t="s">
        <v>187</v>
      </c>
      <c r="P114" t="s">
        <v>5</v>
      </c>
      <c r="Q114" t="s">
        <v>6</v>
      </c>
      <c r="R114" t="s">
        <v>333</v>
      </c>
      <c r="S114" t="s">
        <v>7</v>
      </c>
      <c r="T114" t="s">
        <v>322</v>
      </c>
      <c r="U114">
        <f>Sales_Order[[#This Row],[Quantity ordered]]*Sales_Order[[#This Row],[Price each]]</f>
        <v>2500</v>
      </c>
    </row>
    <row r="115" spans="1:21" x14ac:dyDescent="0.3">
      <c r="A115">
        <v>10313</v>
      </c>
      <c r="B115">
        <v>21</v>
      </c>
      <c r="C115">
        <v>100</v>
      </c>
      <c r="D115">
        <v>11</v>
      </c>
      <c r="E115" s="1">
        <v>38282</v>
      </c>
      <c r="F115" t="s">
        <v>0</v>
      </c>
      <c r="G115">
        <v>4</v>
      </c>
      <c r="H115">
        <v>2004</v>
      </c>
      <c r="I115" t="s">
        <v>38</v>
      </c>
      <c r="J115" t="s">
        <v>39</v>
      </c>
      <c r="K115" t="s">
        <v>205</v>
      </c>
      <c r="L115" t="s">
        <v>206</v>
      </c>
      <c r="M115" t="s">
        <v>207</v>
      </c>
      <c r="N115" t="s">
        <v>208</v>
      </c>
      <c r="O115" t="s">
        <v>209</v>
      </c>
      <c r="P115" t="s">
        <v>210</v>
      </c>
      <c r="Q115" t="s">
        <v>6</v>
      </c>
      <c r="R115" t="s">
        <v>343</v>
      </c>
      <c r="S115" t="s">
        <v>7</v>
      </c>
      <c r="T115" t="s">
        <v>324</v>
      </c>
      <c r="U115">
        <f>Sales_Order[[#This Row],[Quantity ordered]]*Sales_Order[[#This Row],[Price each]]</f>
        <v>2100</v>
      </c>
    </row>
    <row r="116" spans="1:21" x14ac:dyDescent="0.3">
      <c r="A116">
        <v>10322</v>
      </c>
      <c r="B116">
        <v>27</v>
      </c>
      <c r="C116">
        <v>100</v>
      </c>
      <c r="D116">
        <v>9</v>
      </c>
      <c r="E116" s="1">
        <v>38088</v>
      </c>
      <c r="F116" t="s">
        <v>0</v>
      </c>
      <c r="G116">
        <v>4</v>
      </c>
      <c r="H116">
        <v>2004</v>
      </c>
      <c r="I116" t="s">
        <v>38</v>
      </c>
      <c r="J116" t="s">
        <v>39</v>
      </c>
      <c r="K116" t="s">
        <v>228</v>
      </c>
      <c r="L116" t="s">
        <v>229</v>
      </c>
      <c r="M116" t="s">
        <v>230</v>
      </c>
      <c r="N116" t="s">
        <v>231</v>
      </c>
      <c r="O116" t="s">
        <v>232</v>
      </c>
      <c r="P116" t="s">
        <v>5</v>
      </c>
      <c r="Q116" t="s">
        <v>6</v>
      </c>
      <c r="R116" t="s">
        <v>350</v>
      </c>
      <c r="S116" t="s">
        <v>8</v>
      </c>
      <c r="T116" t="s">
        <v>334</v>
      </c>
      <c r="U116">
        <f>Sales_Order[[#This Row],[Quantity ordered]]*Sales_Order[[#This Row],[Price each]]</f>
        <v>2700</v>
      </c>
    </row>
    <row r="117" spans="1:21" x14ac:dyDescent="0.3">
      <c r="A117">
        <v>10347</v>
      </c>
      <c r="B117">
        <v>29</v>
      </c>
      <c r="C117">
        <v>100</v>
      </c>
      <c r="D117">
        <v>3</v>
      </c>
      <c r="E117" s="1">
        <v>38320</v>
      </c>
      <c r="F117" t="s">
        <v>0</v>
      </c>
      <c r="G117">
        <v>4</v>
      </c>
      <c r="H117">
        <v>2004</v>
      </c>
      <c r="I117" t="s">
        <v>38</v>
      </c>
      <c r="J117" t="s">
        <v>39</v>
      </c>
      <c r="K117" t="s">
        <v>9</v>
      </c>
      <c r="L117" t="s">
        <v>10</v>
      </c>
      <c r="M117" t="s">
        <v>11</v>
      </c>
      <c r="N117" t="s">
        <v>12</v>
      </c>
      <c r="O117" t="s">
        <v>134</v>
      </c>
      <c r="P117" t="s">
        <v>13</v>
      </c>
      <c r="Q117" t="s">
        <v>14</v>
      </c>
      <c r="R117" t="s">
        <v>325</v>
      </c>
      <c r="S117" t="s">
        <v>8</v>
      </c>
      <c r="T117" t="s">
        <v>334</v>
      </c>
      <c r="U117">
        <f>Sales_Order[[#This Row],[Quantity ordered]]*Sales_Order[[#This Row],[Price each]]</f>
        <v>2900</v>
      </c>
    </row>
    <row r="118" spans="1:21" x14ac:dyDescent="0.3">
      <c r="A118">
        <v>10357</v>
      </c>
      <c r="B118">
        <v>49</v>
      </c>
      <c r="C118">
        <v>100</v>
      </c>
      <c r="D118">
        <v>8</v>
      </c>
      <c r="E118" s="1">
        <v>38272</v>
      </c>
      <c r="F118" t="s">
        <v>0</v>
      </c>
      <c r="G118">
        <v>4</v>
      </c>
      <c r="H118">
        <v>2004</v>
      </c>
      <c r="I118" t="s">
        <v>38</v>
      </c>
      <c r="J118" t="s">
        <v>39</v>
      </c>
      <c r="K118" t="s">
        <v>225</v>
      </c>
      <c r="L118" t="s">
        <v>226</v>
      </c>
      <c r="M118" t="s">
        <v>227</v>
      </c>
      <c r="N118" t="s">
        <v>161</v>
      </c>
      <c r="O118" t="s">
        <v>177</v>
      </c>
      <c r="P118" t="s">
        <v>5</v>
      </c>
      <c r="Q118" t="s">
        <v>6</v>
      </c>
      <c r="R118" t="s">
        <v>349</v>
      </c>
      <c r="S118" t="s">
        <v>8</v>
      </c>
      <c r="T118" t="s">
        <v>336</v>
      </c>
      <c r="U118">
        <f>Sales_Order[[#This Row],[Quantity ordered]]*Sales_Order[[#This Row],[Price each]]</f>
        <v>4900</v>
      </c>
    </row>
    <row r="119" spans="1:21" x14ac:dyDescent="0.3">
      <c r="A119">
        <v>10370</v>
      </c>
      <c r="B119">
        <v>49</v>
      </c>
      <c r="C119">
        <v>100</v>
      </c>
      <c r="D119">
        <v>8</v>
      </c>
      <c r="E119" s="1">
        <v>38372</v>
      </c>
      <c r="F119" t="s">
        <v>0</v>
      </c>
      <c r="G119">
        <v>1</v>
      </c>
      <c r="H119">
        <v>2005</v>
      </c>
      <c r="I119" t="s">
        <v>38</v>
      </c>
      <c r="J119" t="s">
        <v>39</v>
      </c>
      <c r="K119" t="s">
        <v>26</v>
      </c>
      <c r="L119" t="s">
        <v>27</v>
      </c>
      <c r="M119" t="s">
        <v>28</v>
      </c>
      <c r="N119" t="s">
        <v>21</v>
      </c>
      <c r="O119" t="s">
        <v>137</v>
      </c>
      <c r="P119" t="s">
        <v>13</v>
      </c>
      <c r="Q119" t="s">
        <v>14</v>
      </c>
      <c r="R119" t="s">
        <v>352</v>
      </c>
      <c r="S119" t="s">
        <v>17</v>
      </c>
      <c r="T119" t="s">
        <v>345</v>
      </c>
      <c r="U119">
        <f>Sales_Order[[#This Row],[Quantity ordered]]*Sales_Order[[#This Row],[Price each]]</f>
        <v>4900</v>
      </c>
    </row>
    <row r="120" spans="1:21" x14ac:dyDescent="0.3">
      <c r="A120">
        <v>10391</v>
      </c>
      <c r="B120">
        <v>39</v>
      </c>
      <c r="C120">
        <v>63.2</v>
      </c>
      <c r="D120">
        <v>9</v>
      </c>
      <c r="E120" s="1">
        <v>38598</v>
      </c>
      <c r="F120" t="s">
        <v>0</v>
      </c>
      <c r="G120">
        <v>1</v>
      </c>
      <c r="H120">
        <v>2005</v>
      </c>
      <c r="I120" t="s">
        <v>38</v>
      </c>
      <c r="J120" t="s">
        <v>39</v>
      </c>
      <c r="K120" t="s">
        <v>26</v>
      </c>
      <c r="L120" t="s">
        <v>27</v>
      </c>
      <c r="M120" t="s">
        <v>28</v>
      </c>
      <c r="N120" t="s">
        <v>21</v>
      </c>
      <c r="O120" t="s">
        <v>137</v>
      </c>
      <c r="P120" t="s">
        <v>13</v>
      </c>
      <c r="Q120" t="s">
        <v>14</v>
      </c>
      <c r="R120" t="s">
        <v>352</v>
      </c>
      <c r="S120" t="s">
        <v>7</v>
      </c>
      <c r="T120" t="s">
        <v>338</v>
      </c>
      <c r="U120">
        <f>Sales_Order[[#This Row],[Quantity ordered]]*Sales_Order[[#This Row],[Price each]]</f>
        <v>2464.8000000000002</v>
      </c>
    </row>
    <row r="121" spans="1:21" x14ac:dyDescent="0.3">
      <c r="A121">
        <v>10411</v>
      </c>
      <c r="B121">
        <v>40</v>
      </c>
      <c r="C121">
        <v>100</v>
      </c>
      <c r="D121">
        <v>6</v>
      </c>
      <c r="E121" s="1">
        <v>38357</v>
      </c>
      <c r="F121" t="s">
        <v>0</v>
      </c>
      <c r="G121">
        <v>2</v>
      </c>
      <c r="H121">
        <v>2005</v>
      </c>
      <c r="I121" t="s">
        <v>38</v>
      </c>
      <c r="J121" t="s">
        <v>39</v>
      </c>
      <c r="K121" t="s">
        <v>237</v>
      </c>
      <c r="L121" t="s">
        <v>238</v>
      </c>
      <c r="M121" t="s">
        <v>239</v>
      </c>
      <c r="N121" t="s">
        <v>240</v>
      </c>
      <c r="O121" t="s">
        <v>241</v>
      </c>
      <c r="P121" t="s">
        <v>210</v>
      </c>
      <c r="Q121" t="s">
        <v>6</v>
      </c>
      <c r="R121" t="s">
        <v>353</v>
      </c>
      <c r="S121" t="s">
        <v>8</v>
      </c>
      <c r="T121" t="s">
        <v>329</v>
      </c>
      <c r="U121">
        <f>Sales_Order[[#This Row],[Quantity ordered]]*Sales_Order[[#This Row],[Price each]]</f>
        <v>4000</v>
      </c>
    </row>
    <row r="122" spans="1:21" x14ac:dyDescent="0.3">
      <c r="A122">
        <v>10107</v>
      </c>
      <c r="B122">
        <v>21</v>
      </c>
      <c r="C122">
        <v>100</v>
      </c>
      <c r="D122">
        <v>1</v>
      </c>
      <c r="E122" s="1">
        <v>37676</v>
      </c>
      <c r="F122" t="s">
        <v>0</v>
      </c>
      <c r="G122">
        <v>1</v>
      </c>
      <c r="H122">
        <v>2003</v>
      </c>
      <c r="I122" t="s">
        <v>1</v>
      </c>
      <c r="J122" t="s">
        <v>40</v>
      </c>
      <c r="K122" t="s">
        <v>155</v>
      </c>
      <c r="L122" t="s">
        <v>156</v>
      </c>
      <c r="M122" t="s">
        <v>3</v>
      </c>
      <c r="N122" t="s">
        <v>4</v>
      </c>
      <c r="O122" t="s">
        <v>135</v>
      </c>
      <c r="P122" t="s">
        <v>5</v>
      </c>
      <c r="Q122" t="s">
        <v>6</v>
      </c>
      <c r="R122" t="s">
        <v>319</v>
      </c>
      <c r="S122" t="s">
        <v>8</v>
      </c>
      <c r="T122" t="s">
        <v>320</v>
      </c>
      <c r="U122">
        <f>Sales_Order[[#This Row],[Quantity ordered]]*Sales_Order[[#This Row],[Price each]]</f>
        <v>2100</v>
      </c>
    </row>
    <row r="123" spans="1:21" x14ac:dyDescent="0.3">
      <c r="A123">
        <v>10145</v>
      </c>
      <c r="B123">
        <v>49</v>
      </c>
      <c r="C123">
        <v>100</v>
      </c>
      <c r="D123">
        <v>5</v>
      </c>
      <c r="E123" s="1">
        <v>37858</v>
      </c>
      <c r="F123" t="s">
        <v>0</v>
      </c>
      <c r="G123">
        <v>3</v>
      </c>
      <c r="H123">
        <v>2003</v>
      </c>
      <c r="I123" t="s">
        <v>1</v>
      </c>
      <c r="J123" t="s">
        <v>40</v>
      </c>
      <c r="K123" t="s">
        <v>158</v>
      </c>
      <c r="L123" t="s">
        <v>159</v>
      </c>
      <c r="M123" t="s">
        <v>160</v>
      </c>
      <c r="N123" t="s">
        <v>161</v>
      </c>
      <c r="O123" t="s">
        <v>162</v>
      </c>
      <c r="P123" t="s">
        <v>5</v>
      </c>
      <c r="Q123" t="s">
        <v>6</v>
      </c>
      <c r="R123" t="s">
        <v>321</v>
      </c>
      <c r="S123" t="s">
        <v>17</v>
      </c>
      <c r="T123" t="s">
        <v>322</v>
      </c>
      <c r="U123">
        <f>Sales_Order[[#This Row],[Quantity ordered]]*Sales_Order[[#This Row],[Price each]]</f>
        <v>4900</v>
      </c>
    </row>
    <row r="124" spans="1:21" x14ac:dyDescent="0.3">
      <c r="A124">
        <v>10169</v>
      </c>
      <c r="B124">
        <v>35</v>
      </c>
      <c r="C124">
        <v>100</v>
      </c>
      <c r="D124">
        <v>13</v>
      </c>
      <c r="E124" s="1">
        <v>37722</v>
      </c>
      <c r="F124" t="s">
        <v>0</v>
      </c>
      <c r="G124">
        <v>4</v>
      </c>
      <c r="H124">
        <v>2003</v>
      </c>
      <c r="I124" t="s">
        <v>1</v>
      </c>
      <c r="J124" t="s">
        <v>40</v>
      </c>
      <c r="K124" t="s">
        <v>26</v>
      </c>
      <c r="L124" t="s">
        <v>27</v>
      </c>
      <c r="M124" t="s">
        <v>28</v>
      </c>
      <c r="N124" t="s">
        <v>21</v>
      </c>
      <c r="O124" t="s">
        <v>137</v>
      </c>
      <c r="P124" t="s">
        <v>13</v>
      </c>
      <c r="Q124" t="s">
        <v>14</v>
      </c>
      <c r="R124" t="s">
        <v>352</v>
      </c>
      <c r="S124" t="s">
        <v>8</v>
      </c>
      <c r="T124" t="s">
        <v>334</v>
      </c>
      <c r="U124">
        <f>Sales_Order[[#This Row],[Quantity ordered]]*Sales_Order[[#This Row],[Price each]]</f>
        <v>3500</v>
      </c>
    </row>
    <row r="125" spans="1:21" x14ac:dyDescent="0.3">
      <c r="A125">
        <v>10189</v>
      </c>
      <c r="B125">
        <v>28</v>
      </c>
      <c r="C125">
        <v>100</v>
      </c>
      <c r="D125">
        <v>1</v>
      </c>
      <c r="E125" s="1">
        <v>37943</v>
      </c>
      <c r="F125" t="s">
        <v>0</v>
      </c>
      <c r="G125">
        <v>4</v>
      </c>
      <c r="H125">
        <v>2003</v>
      </c>
      <c r="I125" t="s">
        <v>1</v>
      </c>
      <c r="J125" t="s">
        <v>40</v>
      </c>
      <c r="K125" t="s">
        <v>158</v>
      </c>
      <c r="L125" t="s">
        <v>159</v>
      </c>
      <c r="M125" t="s">
        <v>160</v>
      </c>
      <c r="N125" t="s">
        <v>161</v>
      </c>
      <c r="O125" t="s">
        <v>162</v>
      </c>
      <c r="P125" t="s">
        <v>5</v>
      </c>
      <c r="Q125" t="s">
        <v>6</v>
      </c>
      <c r="R125" t="s">
        <v>321</v>
      </c>
      <c r="S125" t="s">
        <v>8</v>
      </c>
      <c r="T125" t="s">
        <v>334</v>
      </c>
      <c r="U125">
        <f>Sales_Order[[#This Row],[Quantity ordered]]*Sales_Order[[#This Row],[Price each]]</f>
        <v>2800</v>
      </c>
    </row>
    <row r="126" spans="1:21" x14ac:dyDescent="0.3">
      <c r="A126">
        <v>10237</v>
      </c>
      <c r="B126">
        <v>32</v>
      </c>
      <c r="C126">
        <v>100</v>
      </c>
      <c r="D126">
        <v>6</v>
      </c>
      <c r="E126" s="1">
        <v>38111</v>
      </c>
      <c r="F126" t="s">
        <v>0</v>
      </c>
      <c r="G126">
        <v>2</v>
      </c>
      <c r="H126">
        <v>2004</v>
      </c>
      <c r="I126" t="s">
        <v>1</v>
      </c>
      <c r="J126" t="s">
        <v>40</v>
      </c>
      <c r="K126" t="s">
        <v>15</v>
      </c>
      <c r="L126" t="s">
        <v>16</v>
      </c>
      <c r="M126" t="s">
        <v>3</v>
      </c>
      <c r="N126" t="s">
        <v>4</v>
      </c>
      <c r="O126" t="s">
        <v>135</v>
      </c>
      <c r="P126" t="s">
        <v>5</v>
      </c>
      <c r="Q126" t="s">
        <v>6</v>
      </c>
      <c r="R126" t="s">
        <v>326</v>
      </c>
      <c r="S126" t="s">
        <v>8</v>
      </c>
      <c r="T126" t="s">
        <v>327</v>
      </c>
      <c r="U126">
        <f>Sales_Order[[#This Row],[Quantity ordered]]*Sales_Order[[#This Row],[Price each]]</f>
        <v>3200</v>
      </c>
    </row>
    <row r="127" spans="1:21" x14ac:dyDescent="0.3">
      <c r="A127">
        <v>10251</v>
      </c>
      <c r="B127">
        <v>46</v>
      </c>
      <c r="C127">
        <v>100</v>
      </c>
      <c r="D127">
        <v>1</v>
      </c>
      <c r="E127" s="1">
        <v>38125</v>
      </c>
      <c r="F127" t="s">
        <v>0</v>
      </c>
      <c r="G127">
        <v>2</v>
      </c>
      <c r="H127">
        <v>2004</v>
      </c>
      <c r="I127" t="s">
        <v>1</v>
      </c>
      <c r="J127" t="s">
        <v>40</v>
      </c>
      <c r="K127" t="s">
        <v>168</v>
      </c>
      <c r="L127" t="s">
        <v>169</v>
      </c>
      <c r="M127" t="s">
        <v>170</v>
      </c>
      <c r="N127" t="s">
        <v>171</v>
      </c>
      <c r="O127" t="s">
        <v>172</v>
      </c>
      <c r="P127" t="s">
        <v>5</v>
      </c>
      <c r="Q127" t="s">
        <v>6</v>
      </c>
      <c r="R127" t="s">
        <v>328</v>
      </c>
      <c r="S127" t="s">
        <v>17</v>
      </c>
      <c r="T127" t="s">
        <v>329</v>
      </c>
      <c r="U127">
        <f>Sales_Order[[#This Row],[Quantity ordered]]*Sales_Order[[#This Row],[Price each]]</f>
        <v>4600</v>
      </c>
    </row>
    <row r="128" spans="1:21" x14ac:dyDescent="0.3">
      <c r="A128">
        <v>10263</v>
      </c>
      <c r="B128">
        <v>48</v>
      </c>
      <c r="C128">
        <v>100</v>
      </c>
      <c r="D128">
        <v>1</v>
      </c>
      <c r="E128" s="1">
        <v>38166</v>
      </c>
      <c r="F128" t="s">
        <v>0</v>
      </c>
      <c r="G128">
        <v>2</v>
      </c>
      <c r="H128">
        <v>2004</v>
      </c>
      <c r="I128" t="s">
        <v>1</v>
      </c>
      <c r="J128" t="s">
        <v>40</v>
      </c>
      <c r="K128" t="s">
        <v>173</v>
      </c>
      <c r="L128" t="s">
        <v>174</v>
      </c>
      <c r="M128" t="s">
        <v>175</v>
      </c>
      <c r="N128" t="s">
        <v>176</v>
      </c>
      <c r="O128" t="s">
        <v>177</v>
      </c>
      <c r="P128" t="s">
        <v>5</v>
      </c>
      <c r="Q128" t="s">
        <v>6</v>
      </c>
      <c r="R128" t="s">
        <v>330</v>
      </c>
      <c r="S128" t="s">
        <v>8</v>
      </c>
      <c r="T128" t="s">
        <v>331</v>
      </c>
      <c r="U128">
        <f>Sales_Order[[#This Row],[Quantity ordered]]*Sales_Order[[#This Row],[Price each]]</f>
        <v>4800</v>
      </c>
    </row>
    <row r="129" spans="1:21" x14ac:dyDescent="0.3">
      <c r="A129">
        <v>10276</v>
      </c>
      <c r="B129">
        <v>43</v>
      </c>
      <c r="C129">
        <v>100</v>
      </c>
      <c r="D129">
        <v>14</v>
      </c>
      <c r="E129" s="1">
        <v>38025</v>
      </c>
      <c r="F129" t="s">
        <v>0</v>
      </c>
      <c r="G129">
        <v>3</v>
      </c>
      <c r="H129">
        <v>2004</v>
      </c>
      <c r="I129" t="s">
        <v>1</v>
      </c>
      <c r="J129" t="s">
        <v>40</v>
      </c>
      <c r="K129" t="s">
        <v>279</v>
      </c>
      <c r="L129" t="s">
        <v>280</v>
      </c>
      <c r="M129" t="s">
        <v>235</v>
      </c>
      <c r="N129" t="s">
        <v>181</v>
      </c>
      <c r="O129" t="s">
        <v>236</v>
      </c>
      <c r="P129" t="s">
        <v>5</v>
      </c>
      <c r="Q129" t="s">
        <v>6</v>
      </c>
      <c r="R129" t="s">
        <v>365</v>
      </c>
      <c r="S129" t="s">
        <v>8</v>
      </c>
      <c r="T129" t="s">
        <v>322</v>
      </c>
      <c r="U129">
        <f>Sales_Order[[#This Row],[Quantity ordered]]*Sales_Order[[#This Row],[Price each]]</f>
        <v>4300</v>
      </c>
    </row>
    <row r="130" spans="1:21" x14ac:dyDescent="0.3">
      <c r="A130">
        <v>10285</v>
      </c>
      <c r="B130">
        <v>49</v>
      </c>
      <c r="C130">
        <v>100</v>
      </c>
      <c r="D130">
        <v>5</v>
      </c>
      <c r="E130" s="1">
        <v>38226</v>
      </c>
      <c r="F130" t="s">
        <v>0</v>
      </c>
      <c r="G130">
        <v>3</v>
      </c>
      <c r="H130">
        <v>2004</v>
      </c>
      <c r="I130" t="s">
        <v>1</v>
      </c>
      <c r="J130" t="s">
        <v>40</v>
      </c>
      <c r="K130" t="s">
        <v>178</v>
      </c>
      <c r="L130" t="s">
        <v>179</v>
      </c>
      <c r="M130" t="s">
        <v>180</v>
      </c>
      <c r="N130" t="s">
        <v>181</v>
      </c>
      <c r="O130" t="s">
        <v>182</v>
      </c>
      <c r="P130" t="s">
        <v>5</v>
      </c>
      <c r="Q130" t="s">
        <v>6</v>
      </c>
      <c r="R130" t="s">
        <v>332</v>
      </c>
      <c r="S130" t="s">
        <v>8</v>
      </c>
      <c r="T130" t="s">
        <v>322</v>
      </c>
      <c r="U130">
        <f>Sales_Order[[#This Row],[Quantity ordered]]*Sales_Order[[#This Row],[Price each]]</f>
        <v>4900</v>
      </c>
    </row>
    <row r="131" spans="1:21" x14ac:dyDescent="0.3">
      <c r="A131">
        <v>10319</v>
      </c>
      <c r="B131">
        <v>30</v>
      </c>
      <c r="C131">
        <v>100</v>
      </c>
      <c r="D131">
        <v>9</v>
      </c>
      <c r="E131" s="1">
        <v>38057</v>
      </c>
      <c r="F131" t="s">
        <v>0</v>
      </c>
      <c r="G131">
        <v>4</v>
      </c>
      <c r="H131">
        <v>2004</v>
      </c>
      <c r="I131" t="s">
        <v>1</v>
      </c>
      <c r="J131" t="s">
        <v>40</v>
      </c>
      <c r="K131" t="s">
        <v>41</v>
      </c>
      <c r="L131" t="s">
        <v>42</v>
      </c>
      <c r="M131" t="s">
        <v>3</v>
      </c>
      <c r="N131" t="s">
        <v>4</v>
      </c>
      <c r="O131" t="s">
        <v>135</v>
      </c>
      <c r="P131" t="s">
        <v>5</v>
      </c>
      <c r="Q131" t="s">
        <v>6</v>
      </c>
      <c r="R131" t="s">
        <v>367</v>
      </c>
      <c r="S131" t="s">
        <v>8</v>
      </c>
      <c r="T131" t="s">
        <v>334</v>
      </c>
      <c r="U131">
        <f>Sales_Order[[#This Row],[Quantity ordered]]*Sales_Order[[#This Row],[Price each]]</f>
        <v>3000</v>
      </c>
    </row>
    <row r="132" spans="1:21" x14ac:dyDescent="0.3">
      <c r="A132">
        <v>10329</v>
      </c>
      <c r="B132">
        <v>24</v>
      </c>
      <c r="C132">
        <v>100</v>
      </c>
      <c r="D132">
        <v>6</v>
      </c>
      <c r="E132" s="1">
        <v>38306</v>
      </c>
      <c r="F132" t="s">
        <v>0</v>
      </c>
      <c r="G132">
        <v>4</v>
      </c>
      <c r="H132">
        <v>2004</v>
      </c>
      <c r="I132" t="s">
        <v>1</v>
      </c>
      <c r="J132" t="s">
        <v>40</v>
      </c>
      <c r="K132" t="s">
        <v>155</v>
      </c>
      <c r="L132" t="s">
        <v>156</v>
      </c>
      <c r="M132" t="s">
        <v>3</v>
      </c>
      <c r="N132" t="s">
        <v>4</v>
      </c>
      <c r="O132" t="s">
        <v>135</v>
      </c>
      <c r="P132" t="s">
        <v>5</v>
      </c>
      <c r="Q132" t="s">
        <v>6</v>
      </c>
      <c r="R132" t="s">
        <v>319</v>
      </c>
      <c r="S132" t="s">
        <v>8</v>
      </c>
      <c r="T132" t="s">
        <v>334</v>
      </c>
      <c r="U132">
        <f>Sales_Order[[#This Row],[Quantity ordered]]*Sales_Order[[#This Row],[Price each]]</f>
        <v>2400</v>
      </c>
    </row>
    <row r="133" spans="1:21" x14ac:dyDescent="0.3">
      <c r="A133">
        <v>10362</v>
      </c>
      <c r="B133">
        <v>22</v>
      </c>
      <c r="C133">
        <v>100</v>
      </c>
      <c r="D133">
        <v>1</v>
      </c>
      <c r="E133" s="1">
        <v>38473</v>
      </c>
      <c r="F133" t="s">
        <v>0</v>
      </c>
      <c r="G133">
        <v>1</v>
      </c>
      <c r="H133">
        <v>2005</v>
      </c>
      <c r="I133" t="s">
        <v>1</v>
      </c>
      <c r="J133" t="s">
        <v>40</v>
      </c>
      <c r="K133" t="s">
        <v>163</v>
      </c>
      <c r="L133" t="s">
        <v>164</v>
      </c>
      <c r="M133" t="s">
        <v>165</v>
      </c>
      <c r="N133" t="s">
        <v>161</v>
      </c>
      <c r="O133" t="s">
        <v>166</v>
      </c>
      <c r="P133" t="s">
        <v>5</v>
      </c>
      <c r="Q133" t="s">
        <v>6</v>
      </c>
      <c r="R133" t="s">
        <v>323</v>
      </c>
      <c r="S133" t="s">
        <v>8</v>
      </c>
      <c r="T133" t="s">
        <v>345</v>
      </c>
      <c r="U133">
        <f>Sales_Order[[#This Row],[Quantity ordered]]*Sales_Order[[#This Row],[Price each]]</f>
        <v>2200</v>
      </c>
    </row>
    <row r="134" spans="1:21" x14ac:dyDescent="0.3">
      <c r="A134">
        <v>10388</v>
      </c>
      <c r="B134">
        <v>44</v>
      </c>
      <c r="C134">
        <v>100</v>
      </c>
      <c r="D134">
        <v>6</v>
      </c>
      <c r="E134" s="1">
        <v>38414</v>
      </c>
      <c r="F134" t="s">
        <v>0</v>
      </c>
      <c r="G134">
        <v>1</v>
      </c>
      <c r="H134">
        <v>2005</v>
      </c>
      <c r="I134" t="s">
        <v>1</v>
      </c>
      <c r="J134" t="s">
        <v>40</v>
      </c>
      <c r="K134" t="s">
        <v>189</v>
      </c>
      <c r="L134" t="s">
        <v>190</v>
      </c>
      <c r="M134" t="s">
        <v>191</v>
      </c>
      <c r="N134" t="s">
        <v>181</v>
      </c>
      <c r="O134" t="s">
        <v>192</v>
      </c>
      <c r="P134" t="s">
        <v>5</v>
      </c>
      <c r="Q134" t="s">
        <v>6</v>
      </c>
      <c r="R134" t="s">
        <v>337</v>
      </c>
      <c r="S134" t="s">
        <v>8</v>
      </c>
      <c r="T134" t="s">
        <v>338</v>
      </c>
      <c r="U134">
        <f>Sales_Order[[#This Row],[Quantity ordered]]*Sales_Order[[#This Row],[Price each]]</f>
        <v>4400</v>
      </c>
    </row>
    <row r="135" spans="1:21" x14ac:dyDescent="0.3">
      <c r="A135">
        <v>10127</v>
      </c>
      <c r="B135">
        <v>46</v>
      </c>
      <c r="C135">
        <v>100</v>
      </c>
      <c r="D135">
        <v>3</v>
      </c>
      <c r="E135" s="1">
        <v>37686</v>
      </c>
      <c r="F135" t="s">
        <v>0</v>
      </c>
      <c r="G135">
        <v>2</v>
      </c>
      <c r="H135">
        <v>2003</v>
      </c>
      <c r="I135" t="s">
        <v>22</v>
      </c>
      <c r="J135" t="s">
        <v>43</v>
      </c>
      <c r="K135" t="s">
        <v>36</v>
      </c>
      <c r="L135" t="s">
        <v>37</v>
      </c>
      <c r="M135" t="s">
        <v>3</v>
      </c>
      <c r="N135" t="s">
        <v>4</v>
      </c>
      <c r="O135" t="s">
        <v>135</v>
      </c>
      <c r="P135" t="s">
        <v>5</v>
      </c>
      <c r="Q135" t="s">
        <v>6</v>
      </c>
      <c r="R135" t="s">
        <v>366</v>
      </c>
      <c r="S135" t="s">
        <v>17</v>
      </c>
      <c r="T135" t="s">
        <v>331</v>
      </c>
      <c r="U135">
        <f>Sales_Order[[#This Row],[Quantity ordered]]*Sales_Order[[#This Row],[Price each]]</f>
        <v>4600</v>
      </c>
    </row>
    <row r="136" spans="1:21" x14ac:dyDescent="0.3">
      <c r="A136">
        <v>10142</v>
      </c>
      <c r="B136">
        <v>33</v>
      </c>
      <c r="C136">
        <v>100</v>
      </c>
      <c r="D136">
        <v>13</v>
      </c>
      <c r="E136" s="1">
        <v>37841</v>
      </c>
      <c r="F136" t="s">
        <v>0</v>
      </c>
      <c r="G136">
        <v>3</v>
      </c>
      <c r="H136">
        <v>2003</v>
      </c>
      <c r="I136" t="s">
        <v>22</v>
      </c>
      <c r="J136" t="s">
        <v>43</v>
      </c>
      <c r="K136" t="s">
        <v>225</v>
      </c>
      <c r="L136" t="s">
        <v>226</v>
      </c>
      <c r="M136" t="s">
        <v>227</v>
      </c>
      <c r="N136" t="s">
        <v>161</v>
      </c>
      <c r="O136" t="s">
        <v>177</v>
      </c>
      <c r="P136" t="s">
        <v>5</v>
      </c>
      <c r="Q136" t="s">
        <v>6</v>
      </c>
      <c r="R136" t="s">
        <v>349</v>
      </c>
      <c r="S136" t="s">
        <v>8</v>
      </c>
      <c r="T136" t="s">
        <v>322</v>
      </c>
      <c r="U136">
        <f>Sales_Order[[#This Row],[Quantity ordered]]*Sales_Order[[#This Row],[Price each]]</f>
        <v>3300</v>
      </c>
    </row>
    <row r="137" spans="1:21" x14ac:dyDescent="0.3">
      <c r="A137">
        <v>10185</v>
      </c>
      <c r="B137">
        <v>33</v>
      </c>
      <c r="C137">
        <v>100</v>
      </c>
      <c r="D137">
        <v>14</v>
      </c>
      <c r="E137" s="1">
        <v>37939</v>
      </c>
      <c r="F137" t="s">
        <v>0</v>
      </c>
      <c r="G137">
        <v>4</v>
      </c>
      <c r="H137">
        <v>2003</v>
      </c>
      <c r="I137" t="s">
        <v>22</v>
      </c>
      <c r="J137" t="s">
        <v>43</v>
      </c>
      <c r="K137" t="s">
        <v>252</v>
      </c>
      <c r="L137" t="s">
        <v>253</v>
      </c>
      <c r="M137" t="s">
        <v>191</v>
      </c>
      <c r="N137" t="s">
        <v>181</v>
      </c>
      <c r="O137" t="s">
        <v>192</v>
      </c>
      <c r="P137" t="s">
        <v>5</v>
      </c>
      <c r="Q137" t="s">
        <v>6</v>
      </c>
      <c r="R137" t="s">
        <v>357</v>
      </c>
      <c r="S137" t="s">
        <v>8</v>
      </c>
      <c r="T137" t="s">
        <v>334</v>
      </c>
      <c r="U137">
        <f>Sales_Order[[#This Row],[Quantity ordered]]*Sales_Order[[#This Row],[Price each]]</f>
        <v>3300</v>
      </c>
    </row>
    <row r="138" spans="1:21" x14ac:dyDescent="0.3">
      <c r="A138">
        <v>10196</v>
      </c>
      <c r="B138">
        <v>24</v>
      </c>
      <c r="C138">
        <v>100</v>
      </c>
      <c r="D138">
        <v>6</v>
      </c>
      <c r="E138" s="1">
        <v>37951</v>
      </c>
      <c r="F138" t="s">
        <v>0</v>
      </c>
      <c r="G138">
        <v>4</v>
      </c>
      <c r="H138">
        <v>2003</v>
      </c>
      <c r="I138" t="s">
        <v>22</v>
      </c>
      <c r="J138" t="s">
        <v>43</v>
      </c>
      <c r="K138" t="s">
        <v>216</v>
      </c>
      <c r="L138" t="s">
        <v>217</v>
      </c>
      <c r="M138" t="s">
        <v>218</v>
      </c>
      <c r="N138" t="s">
        <v>176</v>
      </c>
      <c r="O138" t="s">
        <v>219</v>
      </c>
      <c r="P138" t="s">
        <v>5</v>
      </c>
      <c r="Q138" t="s">
        <v>6</v>
      </c>
      <c r="R138" t="s">
        <v>347</v>
      </c>
      <c r="S138" t="s">
        <v>8</v>
      </c>
      <c r="T138" t="s">
        <v>334</v>
      </c>
      <c r="U138">
        <f>Sales_Order[[#This Row],[Quantity ordered]]*Sales_Order[[#This Row],[Price each]]</f>
        <v>2400</v>
      </c>
    </row>
    <row r="139" spans="1:21" x14ac:dyDescent="0.3">
      <c r="A139">
        <v>10272</v>
      </c>
      <c r="B139">
        <v>27</v>
      </c>
      <c r="C139">
        <v>100</v>
      </c>
      <c r="D139">
        <v>3</v>
      </c>
      <c r="E139" s="1">
        <v>38188</v>
      </c>
      <c r="F139" t="s">
        <v>0</v>
      </c>
      <c r="G139">
        <v>3</v>
      </c>
      <c r="H139">
        <v>2004</v>
      </c>
      <c r="I139" t="s">
        <v>22</v>
      </c>
      <c r="J139" t="s">
        <v>43</v>
      </c>
      <c r="K139" t="s">
        <v>183</v>
      </c>
      <c r="L139" t="s">
        <v>184</v>
      </c>
      <c r="M139" t="s">
        <v>185</v>
      </c>
      <c r="N139" t="s">
        <v>186</v>
      </c>
      <c r="O139" t="s">
        <v>187</v>
      </c>
      <c r="P139" t="s">
        <v>5</v>
      </c>
      <c r="Q139" t="s">
        <v>6</v>
      </c>
      <c r="R139" t="s">
        <v>333</v>
      </c>
      <c r="S139" t="s">
        <v>8</v>
      </c>
      <c r="T139" t="s">
        <v>339</v>
      </c>
      <c r="U139">
        <f>Sales_Order[[#This Row],[Quantity ordered]]*Sales_Order[[#This Row],[Price each]]</f>
        <v>2700</v>
      </c>
    </row>
    <row r="140" spans="1:21" x14ac:dyDescent="0.3">
      <c r="A140">
        <v>10282</v>
      </c>
      <c r="B140">
        <v>27</v>
      </c>
      <c r="C140">
        <v>100</v>
      </c>
      <c r="D140">
        <v>6</v>
      </c>
      <c r="E140" s="1">
        <v>38219</v>
      </c>
      <c r="F140" t="s">
        <v>0</v>
      </c>
      <c r="G140">
        <v>3</v>
      </c>
      <c r="H140">
        <v>2004</v>
      </c>
      <c r="I140" t="s">
        <v>22</v>
      </c>
      <c r="J140" t="s">
        <v>43</v>
      </c>
      <c r="K140" t="s">
        <v>225</v>
      </c>
      <c r="L140" t="s">
        <v>226</v>
      </c>
      <c r="M140" t="s">
        <v>227</v>
      </c>
      <c r="N140" t="s">
        <v>161</v>
      </c>
      <c r="O140" t="s">
        <v>177</v>
      </c>
      <c r="P140" t="s">
        <v>5</v>
      </c>
      <c r="Q140" t="s">
        <v>6</v>
      </c>
      <c r="R140" t="s">
        <v>349</v>
      </c>
      <c r="S140" t="s">
        <v>8</v>
      </c>
      <c r="T140" t="s">
        <v>322</v>
      </c>
      <c r="U140">
        <f>Sales_Order[[#This Row],[Quantity ordered]]*Sales_Order[[#This Row],[Price each]]</f>
        <v>2700</v>
      </c>
    </row>
    <row r="141" spans="1:21" x14ac:dyDescent="0.3">
      <c r="A141">
        <v>10324</v>
      </c>
      <c r="B141">
        <v>27</v>
      </c>
      <c r="C141">
        <v>54.33</v>
      </c>
      <c r="D141">
        <v>1</v>
      </c>
      <c r="E141" s="1">
        <v>38118</v>
      </c>
      <c r="F141" t="s">
        <v>0</v>
      </c>
      <c r="G141">
        <v>4</v>
      </c>
      <c r="H141">
        <v>2004</v>
      </c>
      <c r="I141" t="s">
        <v>22</v>
      </c>
      <c r="J141" t="s">
        <v>43</v>
      </c>
      <c r="K141" t="s">
        <v>15</v>
      </c>
      <c r="L141" t="s">
        <v>16</v>
      </c>
      <c r="M141" t="s">
        <v>3</v>
      </c>
      <c r="N141" t="s">
        <v>4</v>
      </c>
      <c r="O141" t="s">
        <v>135</v>
      </c>
      <c r="P141" t="s">
        <v>5</v>
      </c>
      <c r="Q141" t="s">
        <v>6</v>
      </c>
      <c r="R141" t="s">
        <v>326</v>
      </c>
      <c r="S141" t="s">
        <v>7</v>
      </c>
      <c r="T141" t="s">
        <v>334</v>
      </c>
      <c r="U141">
        <f>Sales_Order[[#This Row],[Quantity ordered]]*Sales_Order[[#This Row],[Price each]]</f>
        <v>1466.9099999999999</v>
      </c>
    </row>
    <row r="142" spans="1:21" x14ac:dyDescent="0.3">
      <c r="A142">
        <v>10372</v>
      </c>
      <c r="B142">
        <v>40</v>
      </c>
      <c r="C142">
        <v>100</v>
      </c>
      <c r="D142">
        <v>4</v>
      </c>
      <c r="E142" s="1">
        <v>38378</v>
      </c>
      <c r="F142" t="s">
        <v>0</v>
      </c>
      <c r="G142">
        <v>1</v>
      </c>
      <c r="H142">
        <v>2005</v>
      </c>
      <c r="I142" t="s">
        <v>22</v>
      </c>
      <c r="J142" t="s">
        <v>43</v>
      </c>
      <c r="K142" t="s">
        <v>220</v>
      </c>
      <c r="L142" t="s">
        <v>221</v>
      </c>
      <c r="M142" t="s">
        <v>222</v>
      </c>
      <c r="N142" t="s">
        <v>223</v>
      </c>
      <c r="O142" t="s">
        <v>224</v>
      </c>
      <c r="P142" t="s">
        <v>195</v>
      </c>
      <c r="Q142" t="s">
        <v>195</v>
      </c>
      <c r="R142" t="s">
        <v>348</v>
      </c>
      <c r="S142" t="s">
        <v>8</v>
      </c>
      <c r="T142" t="s">
        <v>345</v>
      </c>
      <c r="U142">
        <f>Sales_Order[[#This Row],[Quantity ordered]]*Sales_Order[[#This Row],[Price each]]</f>
        <v>4000</v>
      </c>
    </row>
    <row r="143" spans="1:21" x14ac:dyDescent="0.3">
      <c r="A143">
        <v>10382</v>
      </c>
      <c r="B143">
        <v>37</v>
      </c>
      <c r="C143">
        <v>100</v>
      </c>
      <c r="D143">
        <v>11</v>
      </c>
      <c r="E143" s="1">
        <v>38400</v>
      </c>
      <c r="F143" t="s">
        <v>0</v>
      </c>
      <c r="G143">
        <v>1</v>
      </c>
      <c r="H143">
        <v>2005</v>
      </c>
      <c r="I143" t="s">
        <v>22</v>
      </c>
      <c r="J143" t="s">
        <v>43</v>
      </c>
      <c r="K143" t="s">
        <v>225</v>
      </c>
      <c r="L143" t="s">
        <v>226</v>
      </c>
      <c r="M143" t="s">
        <v>227</v>
      </c>
      <c r="N143" t="s">
        <v>161</v>
      </c>
      <c r="O143" t="s">
        <v>177</v>
      </c>
      <c r="P143" t="s">
        <v>5</v>
      </c>
      <c r="Q143" t="s">
        <v>6</v>
      </c>
      <c r="R143" t="s">
        <v>349</v>
      </c>
      <c r="S143" t="s">
        <v>8</v>
      </c>
      <c r="T143" t="s">
        <v>320</v>
      </c>
      <c r="U143">
        <f>Sales_Order[[#This Row],[Quantity ordered]]*Sales_Order[[#This Row],[Price each]]</f>
        <v>3700</v>
      </c>
    </row>
    <row r="144" spans="1:21" x14ac:dyDescent="0.3">
      <c r="A144">
        <v>10413</v>
      </c>
      <c r="B144">
        <v>47</v>
      </c>
      <c r="C144">
        <v>100</v>
      </c>
      <c r="D144">
        <v>3</v>
      </c>
      <c r="E144" s="1">
        <v>38477</v>
      </c>
      <c r="F144" t="s">
        <v>0</v>
      </c>
      <c r="G144">
        <v>2</v>
      </c>
      <c r="H144">
        <v>2005</v>
      </c>
      <c r="I144" t="s">
        <v>22</v>
      </c>
      <c r="J144" t="s">
        <v>43</v>
      </c>
      <c r="K144" t="s">
        <v>173</v>
      </c>
      <c r="L144" t="s">
        <v>174</v>
      </c>
      <c r="M144" t="s">
        <v>175</v>
      </c>
      <c r="N144" t="s">
        <v>176</v>
      </c>
      <c r="O144" t="s">
        <v>177</v>
      </c>
      <c r="P144" t="s">
        <v>5</v>
      </c>
      <c r="Q144" t="s">
        <v>6</v>
      </c>
      <c r="R144" t="s">
        <v>330</v>
      </c>
      <c r="S144" t="s">
        <v>17</v>
      </c>
      <c r="T144" t="s">
        <v>329</v>
      </c>
      <c r="U144">
        <f>Sales_Order[[#This Row],[Quantity ordered]]*Sales_Order[[#This Row],[Price each]]</f>
        <v>4700</v>
      </c>
    </row>
    <row r="145" spans="1:21" x14ac:dyDescent="0.3">
      <c r="A145">
        <v>10135</v>
      </c>
      <c r="B145">
        <v>48</v>
      </c>
      <c r="C145">
        <v>100</v>
      </c>
      <c r="D145">
        <v>5</v>
      </c>
      <c r="E145" s="1">
        <v>37659</v>
      </c>
      <c r="F145" t="s">
        <v>0</v>
      </c>
      <c r="G145">
        <v>3</v>
      </c>
      <c r="H145">
        <v>2003</v>
      </c>
      <c r="I145" t="s">
        <v>22</v>
      </c>
      <c r="J145" t="s">
        <v>281</v>
      </c>
      <c r="K145" t="s">
        <v>225</v>
      </c>
      <c r="L145" t="s">
        <v>226</v>
      </c>
      <c r="M145" t="s">
        <v>227</v>
      </c>
      <c r="N145" t="s">
        <v>161</v>
      </c>
      <c r="O145" t="s">
        <v>177</v>
      </c>
      <c r="P145" t="s">
        <v>5</v>
      </c>
      <c r="Q145" t="s">
        <v>6</v>
      </c>
      <c r="R145" t="s">
        <v>349</v>
      </c>
      <c r="S145" t="s">
        <v>8</v>
      </c>
      <c r="T145" t="s">
        <v>339</v>
      </c>
      <c r="U145">
        <f>Sales_Order[[#This Row],[Quantity ordered]]*Sales_Order[[#This Row],[Price each]]</f>
        <v>4800</v>
      </c>
    </row>
    <row r="146" spans="1:21" x14ac:dyDescent="0.3">
      <c r="A146">
        <v>10147</v>
      </c>
      <c r="B146">
        <v>31</v>
      </c>
      <c r="C146">
        <v>100</v>
      </c>
      <c r="D146">
        <v>5</v>
      </c>
      <c r="E146" s="1">
        <v>37750</v>
      </c>
      <c r="F146" t="s">
        <v>0</v>
      </c>
      <c r="G146">
        <v>3</v>
      </c>
      <c r="H146">
        <v>2003</v>
      </c>
      <c r="I146" t="s">
        <v>22</v>
      </c>
      <c r="J146" t="s">
        <v>281</v>
      </c>
      <c r="K146" t="s">
        <v>233</v>
      </c>
      <c r="L146" t="s">
        <v>234</v>
      </c>
      <c r="M146" t="s">
        <v>235</v>
      </c>
      <c r="N146" t="s">
        <v>181</v>
      </c>
      <c r="O146" t="s">
        <v>236</v>
      </c>
      <c r="P146" t="s">
        <v>5</v>
      </c>
      <c r="Q146" t="s">
        <v>6</v>
      </c>
      <c r="R146" t="s">
        <v>351</v>
      </c>
      <c r="S146" t="s">
        <v>8</v>
      </c>
      <c r="T146" t="s">
        <v>361</v>
      </c>
      <c r="U146">
        <f>Sales_Order[[#This Row],[Quantity ordered]]*Sales_Order[[#This Row],[Price each]]</f>
        <v>3100</v>
      </c>
    </row>
    <row r="147" spans="1:21" x14ac:dyDescent="0.3">
      <c r="A147">
        <v>10276</v>
      </c>
      <c r="B147">
        <v>47</v>
      </c>
      <c r="C147">
        <v>100</v>
      </c>
      <c r="D147">
        <v>1</v>
      </c>
      <c r="E147" s="1">
        <v>38025</v>
      </c>
      <c r="F147" t="s">
        <v>0</v>
      </c>
      <c r="G147">
        <v>3</v>
      </c>
      <c r="H147">
        <v>2004</v>
      </c>
      <c r="I147" t="s">
        <v>22</v>
      </c>
      <c r="J147" t="s">
        <v>281</v>
      </c>
      <c r="K147" t="s">
        <v>279</v>
      </c>
      <c r="L147" t="s">
        <v>280</v>
      </c>
      <c r="M147" t="s">
        <v>235</v>
      </c>
      <c r="N147" t="s">
        <v>181</v>
      </c>
      <c r="O147" t="s">
        <v>236</v>
      </c>
      <c r="P147" t="s">
        <v>5</v>
      </c>
      <c r="Q147" t="s">
        <v>6</v>
      </c>
      <c r="R147" t="s">
        <v>365</v>
      </c>
      <c r="S147" t="s">
        <v>8</v>
      </c>
      <c r="T147" t="s">
        <v>322</v>
      </c>
      <c r="U147">
        <f>Sales_Order[[#This Row],[Quantity ordered]]*Sales_Order[[#This Row],[Price each]]</f>
        <v>4700</v>
      </c>
    </row>
    <row r="148" spans="1:21" x14ac:dyDescent="0.3">
      <c r="A148">
        <v>10329</v>
      </c>
      <c r="B148">
        <v>46</v>
      </c>
      <c r="C148">
        <v>83.63</v>
      </c>
      <c r="D148">
        <v>13</v>
      </c>
      <c r="E148" s="1">
        <v>38306</v>
      </c>
      <c r="F148" t="s">
        <v>0</v>
      </c>
      <c r="G148">
        <v>4</v>
      </c>
      <c r="H148">
        <v>2004</v>
      </c>
      <c r="I148" t="s">
        <v>22</v>
      </c>
      <c r="J148" t="s">
        <v>281</v>
      </c>
      <c r="K148" t="s">
        <v>155</v>
      </c>
      <c r="L148" t="s">
        <v>156</v>
      </c>
      <c r="M148" t="s">
        <v>3</v>
      </c>
      <c r="N148" t="s">
        <v>4</v>
      </c>
      <c r="O148" t="s">
        <v>135</v>
      </c>
      <c r="P148" t="s">
        <v>5</v>
      </c>
      <c r="Q148" t="s">
        <v>6</v>
      </c>
      <c r="R148" t="s">
        <v>319</v>
      </c>
      <c r="S148" t="s">
        <v>8</v>
      </c>
      <c r="T148" t="s">
        <v>334</v>
      </c>
      <c r="U148">
        <f>Sales_Order[[#This Row],[Quantity ordered]]*Sales_Order[[#This Row],[Price each]]</f>
        <v>3846.9799999999996</v>
      </c>
    </row>
    <row r="149" spans="1:21" x14ac:dyDescent="0.3">
      <c r="A149">
        <v>10376</v>
      </c>
      <c r="B149">
        <v>35</v>
      </c>
      <c r="C149">
        <v>100</v>
      </c>
      <c r="D149">
        <v>1</v>
      </c>
      <c r="E149" s="1">
        <v>38566</v>
      </c>
      <c r="F149" t="s">
        <v>0</v>
      </c>
      <c r="G149">
        <v>1</v>
      </c>
      <c r="H149">
        <v>2005</v>
      </c>
      <c r="I149" t="s">
        <v>22</v>
      </c>
      <c r="J149" t="s">
        <v>281</v>
      </c>
      <c r="K149" t="s">
        <v>282</v>
      </c>
      <c r="L149" t="s">
        <v>283</v>
      </c>
      <c r="M149" t="s">
        <v>284</v>
      </c>
      <c r="N149" t="s">
        <v>161</v>
      </c>
      <c r="O149" t="s">
        <v>285</v>
      </c>
      <c r="P149" t="s">
        <v>5</v>
      </c>
      <c r="Q149" t="s">
        <v>6</v>
      </c>
      <c r="R149" t="s">
        <v>368</v>
      </c>
      <c r="S149" t="s">
        <v>8</v>
      </c>
      <c r="T149" t="s">
        <v>320</v>
      </c>
      <c r="U149">
        <f>Sales_Order[[#This Row],[Quantity ordered]]*Sales_Order[[#This Row],[Price each]]</f>
        <v>3500</v>
      </c>
    </row>
    <row r="150" spans="1:21" x14ac:dyDescent="0.3">
      <c r="A150">
        <v>10127</v>
      </c>
      <c r="B150">
        <v>42</v>
      </c>
      <c r="C150">
        <v>100</v>
      </c>
      <c r="D150">
        <v>1</v>
      </c>
      <c r="E150" s="1">
        <v>37686</v>
      </c>
      <c r="F150" t="s">
        <v>0</v>
      </c>
      <c r="G150">
        <v>2</v>
      </c>
      <c r="H150">
        <v>2003</v>
      </c>
      <c r="I150" t="s">
        <v>22</v>
      </c>
      <c r="J150" t="s">
        <v>44</v>
      </c>
      <c r="K150" t="s">
        <v>36</v>
      </c>
      <c r="L150" t="s">
        <v>37</v>
      </c>
      <c r="M150" t="s">
        <v>3</v>
      </c>
      <c r="N150" t="s">
        <v>4</v>
      </c>
      <c r="O150" t="s">
        <v>135</v>
      </c>
      <c r="P150" t="s">
        <v>5</v>
      </c>
      <c r="Q150" t="s">
        <v>6</v>
      </c>
      <c r="R150" t="s">
        <v>366</v>
      </c>
      <c r="S150" t="s">
        <v>17</v>
      </c>
      <c r="T150" t="s">
        <v>331</v>
      </c>
      <c r="U150">
        <f>Sales_Order[[#This Row],[Quantity ordered]]*Sales_Order[[#This Row],[Price each]]</f>
        <v>4200</v>
      </c>
    </row>
    <row r="151" spans="1:21" x14ac:dyDescent="0.3">
      <c r="A151">
        <v>10142</v>
      </c>
      <c r="B151">
        <v>46</v>
      </c>
      <c r="C151">
        <v>100</v>
      </c>
      <c r="D151">
        <v>11</v>
      </c>
      <c r="E151" s="1">
        <v>37841</v>
      </c>
      <c r="F151" t="s">
        <v>0</v>
      </c>
      <c r="G151">
        <v>3</v>
      </c>
      <c r="H151">
        <v>2003</v>
      </c>
      <c r="I151" t="s">
        <v>22</v>
      </c>
      <c r="J151" t="s">
        <v>44</v>
      </c>
      <c r="K151" t="s">
        <v>225</v>
      </c>
      <c r="L151" t="s">
        <v>226</v>
      </c>
      <c r="M151" t="s">
        <v>227</v>
      </c>
      <c r="N151" t="s">
        <v>161</v>
      </c>
      <c r="O151" t="s">
        <v>177</v>
      </c>
      <c r="P151" t="s">
        <v>5</v>
      </c>
      <c r="Q151" t="s">
        <v>6</v>
      </c>
      <c r="R151" t="s">
        <v>349</v>
      </c>
      <c r="S151" t="s">
        <v>17</v>
      </c>
      <c r="T151" t="s">
        <v>322</v>
      </c>
      <c r="U151">
        <f>Sales_Order[[#This Row],[Quantity ordered]]*Sales_Order[[#This Row],[Price each]]</f>
        <v>4600</v>
      </c>
    </row>
    <row r="152" spans="1:21" x14ac:dyDescent="0.3">
      <c r="A152">
        <v>10185</v>
      </c>
      <c r="B152">
        <v>43</v>
      </c>
      <c r="C152">
        <v>100</v>
      </c>
      <c r="D152">
        <v>12</v>
      </c>
      <c r="E152" s="1">
        <v>37939</v>
      </c>
      <c r="F152" t="s">
        <v>0</v>
      </c>
      <c r="G152">
        <v>4</v>
      </c>
      <c r="H152">
        <v>2003</v>
      </c>
      <c r="I152" t="s">
        <v>22</v>
      </c>
      <c r="J152" t="s">
        <v>44</v>
      </c>
      <c r="K152" t="s">
        <v>252</v>
      </c>
      <c r="L152" t="s">
        <v>253</v>
      </c>
      <c r="M152" t="s">
        <v>191</v>
      </c>
      <c r="N152" t="s">
        <v>181</v>
      </c>
      <c r="O152" t="s">
        <v>192</v>
      </c>
      <c r="P152" t="s">
        <v>5</v>
      </c>
      <c r="Q152" t="s">
        <v>6</v>
      </c>
      <c r="R152" t="s">
        <v>357</v>
      </c>
      <c r="S152" t="s">
        <v>17</v>
      </c>
      <c r="T152" t="s">
        <v>334</v>
      </c>
      <c r="U152">
        <f>Sales_Order[[#This Row],[Quantity ordered]]*Sales_Order[[#This Row],[Price each]]</f>
        <v>4300</v>
      </c>
    </row>
    <row r="153" spans="1:21" x14ac:dyDescent="0.3">
      <c r="A153">
        <v>10196</v>
      </c>
      <c r="B153">
        <v>38</v>
      </c>
      <c r="C153">
        <v>100</v>
      </c>
      <c r="D153">
        <v>4</v>
      </c>
      <c r="E153" s="1">
        <v>37951</v>
      </c>
      <c r="F153" t="s">
        <v>0</v>
      </c>
      <c r="G153">
        <v>4</v>
      </c>
      <c r="H153">
        <v>2003</v>
      </c>
      <c r="I153" t="s">
        <v>22</v>
      </c>
      <c r="J153" t="s">
        <v>44</v>
      </c>
      <c r="K153" t="s">
        <v>216</v>
      </c>
      <c r="L153" t="s">
        <v>217</v>
      </c>
      <c r="M153" t="s">
        <v>218</v>
      </c>
      <c r="N153" t="s">
        <v>176</v>
      </c>
      <c r="O153" t="s">
        <v>219</v>
      </c>
      <c r="P153" t="s">
        <v>5</v>
      </c>
      <c r="Q153" t="s">
        <v>6</v>
      </c>
      <c r="R153" t="s">
        <v>347</v>
      </c>
      <c r="S153" t="s">
        <v>17</v>
      </c>
      <c r="T153" t="s">
        <v>334</v>
      </c>
      <c r="U153">
        <f>Sales_Order[[#This Row],[Quantity ordered]]*Sales_Order[[#This Row],[Price each]]</f>
        <v>3800</v>
      </c>
    </row>
    <row r="154" spans="1:21" x14ac:dyDescent="0.3">
      <c r="A154">
        <v>10272</v>
      </c>
      <c r="B154">
        <v>39</v>
      </c>
      <c r="C154">
        <v>100</v>
      </c>
      <c r="D154">
        <v>1</v>
      </c>
      <c r="E154" s="1">
        <v>38188</v>
      </c>
      <c r="F154" t="s">
        <v>0</v>
      </c>
      <c r="G154">
        <v>3</v>
      </c>
      <c r="H154">
        <v>2004</v>
      </c>
      <c r="I154" t="s">
        <v>22</v>
      </c>
      <c r="J154" t="s">
        <v>44</v>
      </c>
      <c r="K154" t="s">
        <v>183</v>
      </c>
      <c r="L154" t="s">
        <v>184</v>
      </c>
      <c r="M154" t="s">
        <v>185</v>
      </c>
      <c r="N154" t="s">
        <v>186</v>
      </c>
      <c r="O154" t="s">
        <v>187</v>
      </c>
      <c r="P154" t="s">
        <v>5</v>
      </c>
      <c r="Q154" t="s">
        <v>6</v>
      </c>
      <c r="R154" t="s">
        <v>333</v>
      </c>
      <c r="S154" t="s">
        <v>17</v>
      </c>
      <c r="T154" t="s">
        <v>339</v>
      </c>
      <c r="U154">
        <f>Sales_Order[[#This Row],[Quantity ordered]]*Sales_Order[[#This Row],[Price each]]</f>
        <v>3900</v>
      </c>
    </row>
    <row r="155" spans="1:21" x14ac:dyDescent="0.3">
      <c r="A155">
        <v>10282</v>
      </c>
      <c r="B155">
        <v>24</v>
      </c>
      <c r="C155">
        <v>100</v>
      </c>
      <c r="D155">
        <v>4</v>
      </c>
      <c r="E155" s="1">
        <v>38219</v>
      </c>
      <c r="F155" t="s">
        <v>0</v>
      </c>
      <c r="G155">
        <v>3</v>
      </c>
      <c r="H155">
        <v>2004</v>
      </c>
      <c r="I155" t="s">
        <v>22</v>
      </c>
      <c r="J155" t="s">
        <v>44</v>
      </c>
      <c r="K155" t="s">
        <v>225</v>
      </c>
      <c r="L155" t="s">
        <v>226</v>
      </c>
      <c r="M155" t="s">
        <v>227</v>
      </c>
      <c r="N155" t="s">
        <v>161</v>
      </c>
      <c r="O155" t="s">
        <v>177</v>
      </c>
      <c r="P155" t="s">
        <v>5</v>
      </c>
      <c r="Q155" t="s">
        <v>6</v>
      </c>
      <c r="R155" t="s">
        <v>349</v>
      </c>
      <c r="S155" t="s">
        <v>8</v>
      </c>
      <c r="T155" t="s">
        <v>322</v>
      </c>
      <c r="U155">
        <f>Sales_Order[[#This Row],[Quantity ordered]]*Sales_Order[[#This Row],[Price each]]</f>
        <v>2400</v>
      </c>
    </row>
    <row r="156" spans="1:21" x14ac:dyDescent="0.3">
      <c r="A156">
        <v>10349</v>
      </c>
      <c r="B156">
        <v>26</v>
      </c>
      <c r="C156">
        <v>100</v>
      </c>
      <c r="D156">
        <v>10</v>
      </c>
      <c r="E156" s="1">
        <v>37998</v>
      </c>
      <c r="F156" t="s">
        <v>0</v>
      </c>
      <c r="G156">
        <v>4</v>
      </c>
      <c r="H156">
        <v>2004</v>
      </c>
      <c r="I156" t="s">
        <v>22</v>
      </c>
      <c r="J156" t="s">
        <v>44</v>
      </c>
      <c r="K156" t="s">
        <v>36</v>
      </c>
      <c r="L156" t="s">
        <v>37</v>
      </c>
      <c r="M156" t="s">
        <v>3</v>
      </c>
      <c r="N156" t="s">
        <v>4</v>
      </c>
      <c r="O156" t="s">
        <v>135</v>
      </c>
      <c r="P156" t="s">
        <v>5</v>
      </c>
      <c r="Q156" t="s">
        <v>6</v>
      </c>
      <c r="R156" t="s">
        <v>366</v>
      </c>
      <c r="S156" t="s">
        <v>8</v>
      </c>
      <c r="T156" t="s">
        <v>336</v>
      </c>
      <c r="U156">
        <f>Sales_Order[[#This Row],[Quantity ordered]]*Sales_Order[[#This Row],[Price each]]</f>
        <v>2600</v>
      </c>
    </row>
    <row r="157" spans="1:21" x14ac:dyDescent="0.3">
      <c r="A157">
        <v>10372</v>
      </c>
      <c r="B157">
        <v>34</v>
      </c>
      <c r="C157">
        <v>100</v>
      </c>
      <c r="D157">
        <v>1</v>
      </c>
      <c r="E157" s="1">
        <v>38378</v>
      </c>
      <c r="F157" t="s">
        <v>0</v>
      </c>
      <c r="G157">
        <v>1</v>
      </c>
      <c r="H157">
        <v>2005</v>
      </c>
      <c r="I157" t="s">
        <v>22</v>
      </c>
      <c r="J157" t="s">
        <v>44</v>
      </c>
      <c r="K157" t="s">
        <v>220</v>
      </c>
      <c r="L157" t="s">
        <v>221</v>
      </c>
      <c r="M157" t="s">
        <v>222</v>
      </c>
      <c r="N157" t="s">
        <v>223</v>
      </c>
      <c r="O157" t="s">
        <v>224</v>
      </c>
      <c r="P157" t="s">
        <v>195</v>
      </c>
      <c r="Q157" t="s">
        <v>195</v>
      </c>
      <c r="R157" t="s">
        <v>348</v>
      </c>
      <c r="S157" t="s">
        <v>8</v>
      </c>
      <c r="T157" t="s">
        <v>345</v>
      </c>
      <c r="U157">
        <f>Sales_Order[[#This Row],[Quantity ordered]]*Sales_Order[[#This Row],[Price each]]</f>
        <v>3400</v>
      </c>
    </row>
    <row r="158" spans="1:21" x14ac:dyDescent="0.3">
      <c r="A158">
        <v>10382</v>
      </c>
      <c r="B158">
        <v>34</v>
      </c>
      <c r="C158">
        <v>95.35</v>
      </c>
      <c r="D158">
        <v>12</v>
      </c>
      <c r="E158" s="1">
        <v>38400</v>
      </c>
      <c r="F158" t="s">
        <v>0</v>
      </c>
      <c r="G158">
        <v>1</v>
      </c>
      <c r="H158">
        <v>2005</v>
      </c>
      <c r="I158" t="s">
        <v>22</v>
      </c>
      <c r="J158" t="s">
        <v>44</v>
      </c>
      <c r="K158" t="s">
        <v>225</v>
      </c>
      <c r="L158" t="s">
        <v>226</v>
      </c>
      <c r="M158" t="s">
        <v>227</v>
      </c>
      <c r="N158" t="s">
        <v>161</v>
      </c>
      <c r="O158" t="s">
        <v>177</v>
      </c>
      <c r="P158" t="s">
        <v>5</v>
      </c>
      <c r="Q158" t="s">
        <v>6</v>
      </c>
      <c r="R158" t="s">
        <v>349</v>
      </c>
      <c r="S158" t="s">
        <v>8</v>
      </c>
      <c r="T158" t="s">
        <v>320</v>
      </c>
      <c r="U158">
        <f>Sales_Order[[#This Row],[Quantity ordered]]*Sales_Order[[#This Row],[Price each]]</f>
        <v>3241.8999999999996</v>
      </c>
    </row>
    <row r="159" spans="1:21" x14ac:dyDescent="0.3">
      <c r="A159">
        <v>10396</v>
      </c>
      <c r="B159">
        <v>33</v>
      </c>
      <c r="C159">
        <v>100</v>
      </c>
      <c r="D159">
        <v>3</v>
      </c>
      <c r="E159" s="1">
        <v>38434</v>
      </c>
      <c r="F159" t="s">
        <v>0</v>
      </c>
      <c r="G159">
        <v>1</v>
      </c>
      <c r="H159">
        <v>2005</v>
      </c>
      <c r="I159" t="s">
        <v>22</v>
      </c>
      <c r="J159" t="s">
        <v>44</v>
      </c>
      <c r="K159" t="s">
        <v>225</v>
      </c>
      <c r="L159" t="s">
        <v>226</v>
      </c>
      <c r="M159" t="s">
        <v>227</v>
      </c>
      <c r="N159" t="s">
        <v>161</v>
      </c>
      <c r="O159" t="s">
        <v>177</v>
      </c>
      <c r="P159" t="s">
        <v>5</v>
      </c>
      <c r="Q159" t="s">
        <v>6</v>
      </c>
      <c r="R159" t="s">
        <v>349</v>
      </c>
      <c r="S159" t="s">
        <v>8</v>
      </c>
      <c r="T159" t="s">
        <v>338</v>
      </c>
      <c r="U159">
        <f>Sales_Order[[#This Row],[Quantity ordered]]*Sales_Order[[#This Row],[Price each]]</f>
        <v>3300</v>
      </c>
    </row>
    <row r="160" spans="1:21" x14ac:dyDescent="0.3">
      <c r="A160">
        <v>10413</v>
      </c>
      <c r="B160">
        <v>22</v>
      </c>
      <c r="C160">
        <v>100</v>
      </c>
      <c r="D160">
        <v>1</v>
      </c>
      <c r="E160" s="1">
        <v>38477</v>
      </c>
      <c r="F160" t="s">
        <v>0</v>
      </c>
      <c r="G160">
        <v>2</v>
      </c>
      <c r="H160">
        <v>2005</v>
      </c>
      <c r="I160" t="s">
        <v>22</v>
      </c>
      <c r="J160" t="s">
        <v>44</v>
      </c>
      <c r="K160" t="s">
        <v>173</v>
      </c>
      <c r="L160" t="s">
        <v>174</v>
      </c>
      <c r="M160" t="s">
        <v>175</v>
      </c>
      <c r="N160" t="s">
        <v>176</v>
      </c>
      <c r="O160" t="s">
        <v>177</v>
      </c>
      <c r="P160" t="s">
        <v>5</v>
      </c>
      <c r="Q160" t="s">
        <v>6</v>
      </c>
      <c r="R160" t="s">
        <v>330</v>
      </c>
      <c r="S160" t="s">
        <v>8</v>
      </c>
      <c r="T160" t="s">
        <v>329</v>
      </c>
      <c r="U160">
        <f>Sales_Order[[#This Row],[Quantity ordered]]*Sales_Order[[#This Row],[Price each]]</f>
        <v>2200</v>
      </c>
    </row>
    <row r="161" spans="1:21" x14ac:dyDescent="0.3">
      <c r="A161">
        <v>10135</v>
      </c>
      <c r="B161">
        <v>24</v>
      </c>
      <c r="C161">
        <v>75.010000000000005</v>
      </c>
      <c r="D161">
        <v>8</v>
      </c>
      <c r="E161" s="1">
        <v>37659</v>
      </c>
      <c r="F161" t="s">
        <v>0</v>
      </c>
      <c r="G161">
        <v>3</v>
      </c>
      <c r="H161">
        <v>2003</v>
      </c>
      <c r="I161" t="s">
        <v>22</v>
      </c>
      <c r="J161" t="s">
        <v>45</v>
      </c>
      <c r="K161" t="s">
        <v>225</v>
      </c>
      <c r="L161" t="s">
        <v>226</v>
      </c>
      <c r="M161" t="s">
        <v>227</v>
      </c>
      <c r="N161" t="s">
        <v>161</v>
      </c>
      <c r="O161" t="s">
        <v>177</v>
      </c>
      <c r="P161" t="s">
        <v>5</v>
      </c>
      <c r="Q161" t="s">
        <v>6</v>
      </c>
      <c r="R161" t="s">
        <v>349</v>
      </c>
      <c r="S161" t="s">
        <v>7</v>
      </c>
      <c r="T161" t="s">
        <v>339</v>
      </c>
      <c r="U161">
        <f>Sales_Order[[#This Row],[Quantity ordered]]*Sales_Order[[#This Row],[Price each]]</f>
        <v>1800.2400000000002</v>
      </c>
    </row>
    <row r="162" spans="1:21" x14ac:dyDescent="0.3">
      <c r="A162">
        <v>10147</v>
      </c>
      <c r="B162">
        <v>21</v>
      </c>
      <c r="C162">
        <v>63.84</v>
      </c>
      <c r="D162">
        <v>8</v>
      </c>
      <c r="E162" s="1">
        <v>37750</v>
      </c>
      <c r="F162" t="s">
        <v>0</v>
      </c>
      <c r="G162">
        <v>3</v>
      </c>
      <c r="H162">
        <v>2003</v>
      </c>
      <c r="I162" t="s">
        <v>22</v>
      </c>
      <c r="J162" t="s">
        <v>45</v>
      </c>
      <c r="K162" t="s">
        <v>233</v>
      </c>
      <c r="L162" t="s">
        <v>234</v>
      </c>
      <c r="M162" t="s">
        <v>235</v>
      </c>
      <c r="N162" t="s">
        <v>181</v>
      </c>
      <c r="O162" t="s">
        <v>236</v>
      </c>
      <c r="P162" t="s">
        <v>5</v>
      </c>
      <c r="Q162" t="s">
        <v>6</v>
      </c>
      <c r="R162" t="s">
        <v>351</v>
      </c>
      <c r="S162" t="s">
        <v>7</v>
      </c>
      <c r="T162" t="s">
        <v>361</v>
      </c>
      <c r="U162">
        <f>Sales_Order[[#This Row],[Quantity ordered]]*Sales_Order[[#This Row],[Price each]]</f>
        <v>1340.64</v>
      </c>
    </row>
    <row r="163" spans="1:21" x14ac:dyDescent="0.3">
      <c r="A163">
        <v>10169</v>
      </c>
      <c r="B163">
        <v>36</v>
      </c>
      <c r="C163">
        <v>63.84</v>
      </c>
      <c r="D163">
        <v>3</v>
      </c>
      <c r="E163" s="1">
        <v>37722</v>
      </c>
      <c r="F163" t="s">
        <v>0</v>
      </c>
      <c r="G163">
        <v>4</v>
      </c>
      <c r="H163">
        <v>2003</v>
      </c>
      <c r="I163" t="s">
        <v>22</v>
      </c>
      <c r="J163" t="s">
        <v>45</v>
      </c>
      <c r="K163" t="s">
        <v>26</v>
      </c>
      <c r="L163" t="s">
        <v>27</v>
      </c>
      <c r="M163" t="s">
        <v>28</v>
      </c>
      <c r="N163" t="s">
        <v>21</v>
      </c>
      <c r="O163" t="s">
        <v>137</v>
      </c>
      <c r="P163" t="s">
        <v>13</v>
      </c>
      <c r="Q163" t="s">
        <v>14</v>
      </c>
      <c r="R163" t="s">
        <v>352</v>
      </c>
      <c r="S163" t="s">
        <v>7</v>
      </c>
      <c r="T163" t="s">
        <v>334</v>
      </c>
      <c r="U163">
        <f>Sales_Order[[#This Row],[Quantity ordered]]*Sales_Order[[#This Row],[Price each]]</f>
        <v>2298.2400000000002</v>
      </c>
    </row>
    <row r="164" spans="1:21" x14ac:dyDescent="0.3">
      <c r="A164">
        <v>10276</v>
      </c>
      <c r="B164">
        <v>38</v>
      </c>
      <c r="C164">
        <v>83.79</v>
      </c>
      <c r="D164">
        <v>4</v>
      </c>
      <c r="E164" s="1">
        <v>38025</v>
      </c>
      <c r="F164" t="s">
        <v>0</v>
      </c>
      <c r="G164">
        <v>3</v>
      </c>
      <c r="H164">
        <v>2004</v>
      </c>
      <c r="I164" t="s">
        <v>22</v>
      </c>
      <c r="J164" t="s">
        <v>45</v>
      </c>
      <c r="K164" t="s">
        <v>279</v>
      </c>
      <c r="L164" t="s">
        <v>280</v>
      </c>
      <c r="M164" t="s">
        <v>235</v>
      </c>
      <c r="N164" t="s">
        <v>181</v>
      </c>
      <c r="O164" t="s">
        <v>236</v>
      </c>
      <c r="P164" t="s">
        <v>5</v>
      </c>
      <c r="Q164" t="s">
        <v>6</v>
      </c>
      <c r="R164" t="s">
        <v>365</v>
      </c>
      <c r="S164" t="s">
        <v>8</v>
      </c>
      <c r="T164" t="s">
        <v>322</v>
      </c>
      <c r="U164">
        <f>Sales_Order[[#This Row],[Quantity ordered]]*Sales_Order[[#This Row],[Price each]]</f>
        <v>3184.0200000000004</v>
      </c>
    </row>
    <row r="165" spans="1:21" x14ac:dyDescent="0.3">
      <c r="A165">
        <v>10329</v>
      </c>
      <c r="B165">
        <v>33</v>
      </c>
      <c r="C165">
        <v>100</v>
      </c>
      <c r="D165">
        <v>14</v>
      </c>
      <c r="E165" s="1">
        <v>38306</v>
      </c>
      <c r="F165" t="s">
        <v>0</v>
      </c>
      <c r="G165">
        <v>4</v>
      </c>
      <c r="H165">
        <v>2004</v>
      </c>
      <c r="I165" t="s">
        <v>22</v>
      </c>
      <c r="J165" t="s">
        <v>45</v>
      </c>
      <c r="K165" t="s">
        <v>155</v>
      </c>
      <c r="L165" t="s">
        <v>156</v>
      </c>
      <c r="M165" t="s">
        <v>3</v>
      </c>
      <c r="N165" t="s">
        <v>4</v>
      </c>
      <c r="O165" t="s">
        <v>135</v>
      </c>
      <c r="P165" t="s">
        <v>5</v>
      </c>
      <c r="Q165" t="s">
        <v>6</v>
      </c>
      <c r="R165" t="s">
        <v>319</v>
      </c>
      <c r="S165" t="s">
        <v>8</v>
      </c>
      <c r="T165" t="s">
        <v>334</v>
      </c>
      <c r="U165">
        <f>Sales_Order[[#This Row],[Quantity ordered]]*Sales_Order[[#This Row],[Price each]]</f>
        <v>3300</v>
      </c>
    </row>
    <row r="166" spans="1:21" x14ac:dyDescent="0.3">
      <c r="A166">
        <v>10115</v>
      </c>
      <c r="B166">
        <v>46</v>
      </c>
      <c r="C166">
        <v>100</v>
      </c>
      <c r="D166">
        <v>5</v>
      </c>
      <c r="E166" s="1">
        <v>37715</v>
      </c>
      <c r="F166" t="s">
        <v>0</v>
      </c>
      <c r="G166">
        <v>2</v>
      </c>
      <c r="H166">
        <v>2003</v>
      </c>
      <c r="I166" t="s">
        <v>38</v>
      </c>
      <c r="J166" t="s">
        <v>46</v>
      </c>
      <c r="K166" t="s">
        <v>24</v>
      </c>
      <c r="L166" t="s">
        <v>25</v>
      </c>
      <c r="M166" t="s">
        <v>3</v>
      </c>
      <c r="N166" t="s">
        <v>4</v>
      </c>
      <c r="O166" t="s">
        <v>135</v>
      </c>
      <c r="P166" t="s">
        <v>5</v>
      </c>
      <c r="Q166" t="s">
        <v>6</v>
      </c>
      <c r="R166" t="s">
        <v>340</v>
      </c>
      <c r="S166" t="s">
        <v>8</v>
      </c>
      <c r="T166" t="s">
        <v>327</v>
      </c>
      <c r="U166">
        <f>Sales_Order[[#This Row],[Quantity ordered]]*Sales_Order[[#This Row],[Price each]]</f>
        <v>4600</v>
      </c>
    </row>
    <row r="167" spans="1:21" x14ac:dyDescent="0.3">
      <c r="A167">
        <v>10127</v>
      </c>
      <c r="B167">
        <v>24</v>
      </c>
      <c r="C167">
        <v>100</v>
      </c>
      <c r="D167">
        <v>11</v>
      </c>
      <c r="E167" s="1">
        <v>37686</v>
      </c>
      <c r="F167" t="s">
        <v>0</v>
      </c>
      <c r="G167">
        <v>2</v>
      </c>
      <c r="H167">
        <v>2003</v>
      </c>
      <c r="I167" t="s">
        <v>38</v>
      </c>
      <c r="J167" t="s">
        <v>46</v>
      </c>
      <c r="K167" t="s">
        <v>36</v>
      </c>
      <c r="L167" t="s">
        <v>37</v>
      </c>
      <c r="M167" t="s">
        <v>3</v>
      </c>
      <c r="N167" t="s">
        <v>4</v>
      </c>
      <c r="O167" t="s">
        <v>135</v>
      </c>
      <c r="P167" t="s">
        <v>5</v>
      </c>
      <c r="Q167" t="s">
        <v>6</v>
      </c>
      <c r="R167" t="s">
        <v>366</v>
      </c>
      <c r="S167" t="s">
        <v>7</v>
      </c>
      <c r="T167" t="s">
        <v>331</v>
      </c>
      <c r="U167">
        <f>Sales_Order[[#This Row],[Quantity ordered]]*Sales_Order[[#This Row],[Price each]]</f>
        <v>2400</v>
      </c>
    </row>
    <row r="168" spans="1:21" x14ac:dyDescent="0.3">
      <c r="A168">
        <v>10195</v>
      </c>
      <c r="B168">
        <v>49</v>
      </c>
      <c r="C168">
        <v>100</v>
      </c>
      <c r="D168">
        <v>6</v>
      </c>
      <c r="E168" s="1">
        <v>37950</v>
      </c>
      <c r="F168" t="s">
        <v>0</v>
      </c>
      <c r="G168">
        <v>4</v>
      </c>
      <c r="H168">
        <v>2003</v>
      </c>
      <c r="I168" t="s">
        <v>38</v>
      </c>
      <c r="J168" t="s">
        <v>46</v>
      </c>
      <c r="K168" t="s">
        <v>248</v>
      </c>
      <c r="L168" t="s">
        <v>249</v>
      </c>
      <c r="M168" t="s">
        <v>250</v>
      </c>
      <c r="N168" t="s">
        <v>4</v>
      </c>
      <c r="O168" t="s">
        <v>251</v>
      </c>
      <c r="P168" t="s">
        <v>5</v>
      </c>
      <c r="Q168" t="s">
        <v>6</v>
      </c>
      <c r="R168" t="s">
        <v>356</v>
      </c>
      <c r="S168" t="s">
        <v>8</v>
      </c>
      <c r="T168" t="s">
        <v>334</v>
      </c>
      <c r="U168">
        <f>Sales_Order[[#This Row],[Quantity ordered]]*Sales_Order[[#This Row],[Price each]]</f>
        <v>4900</v>
      </c>
    </row>
    <row r="169" spans="1:21" x14ac:dyDescent="0.3">
      <c r="A169">
        <v>10207</v>
      </c>
      <c r="B169">
        <v>34</v>
      </c>
      <c r="C169">
        <v>99.54</v>
      </c>
      <c r="D169">
        <v>7</v>
      </c>
      <c r="E169" s="1">
        <v>37876</v>
      </c>
      <c r="F169" t="s">
        <v>0</v>
      </c>
      <c r="G169">
        <v>4</v>
      </c>
      <c r="H169">
        <v>2003</v>
      </c>
      <c r="I169" t="s">
        <v>38</v>
      </c>
      <c r="J169" t="s">
        <v>46</v>
      </c>
      <c r="K169" t="s">
        <v>277</v>
      </c>
      <c r="L169" t="s">
        <v>278</v>
      </c>
      <c r="M169" t="s">
        <v>265</v>
      </c>
      <c r="N169" t="s">
        <v>181</v>
      </c>
      <c r="O169" t="s">
        <v>266</v>
      </c>
      <c r="P169" t="s">
        <v>5</v>
      </c>
      <c r="Q169" t="s">
        <v>6</v>
      </c>
      <c r="R169" t="s">
        <v>364</v>
      </c>
      <c r="S169" t="s">
        <v>8</v>
      </c>
      <c r="T169" t="s">
        <v>336</v>
      </c>
      <c r="U169">
        <f>Sales_Order[[#This Row],[Quantity ordered]]*Sales_Order[[#This Row],[Price each]]</f>
        <v>3384.36</v>
      </c>
    </row>
    <row r="170" spans="1:21" x14ac:dyDescent="0.3">
      <c r="A170">
        <v>10219</v>
      </c>
      <c r="B170">
        <v>48</v>
      </c>
      <c r="C170">
        <v>100</v>
      </c>
      <c r="D170">
        <v>2</v>
      </c>
      <c r="E170" s="1">
        <v>38262</v>
      </c>
      <c r="F170" t="s">
        <v>0</v>
      </c>
      <c r="G170">
        <v>1</v>
      </c>
      <c r="H170">
        <v>2004</v>
      </c>
      <c r="I170" t="s">
        <v>38</v>
      </c>
      <c r="J170" t="s">
        <v>46</v>
      </c>
      <c r="K170" t="s">
        <v>286</v>
      </c>
      <c r="L170" t="s">
        <v>287</v>
      </c>
      <c r="M170" t="s">
        <v>288</v>
      </c>
      <c r="N170" t="s">
        <v>161</v>
      </c>
      <c r="O170" t="s">
        <v>166</v>
      </c>
      <c r="P170" t="s">
        <v>5</v>
      </c>
      <c r="Q170" t="s">
        <v>6</v>
      </c>
      <c r="R170" t="s">
        <v>369</v>
      </c>
      <c r="S170" t="s">
        <v>8</v>
      </c>
      <c r="T170" t="s">
        <v>320</v>
      </c>
      <c r="U170">
        <f>Sales_Order[[#This Row],[Quantity ordered]]*Sales_Order[[#This Row],[Price each]]</f>
        <v>4800</v>
      </c>
    </row>
    <row r="171" spans="1:21" x14ac:dyDescent="0.3">
      <c r="A171">
        <v>10229</v>
      </c>
      <c r="B171">
        <v>36</v>
      </c>
      <c r="C171">
        <v>100</v>
      </c>
      <c r="D171">
        <v>1</v>
      </c>
      <c r="E171" s="1">
        <v>38294</v>
      </c>
      <c r="F171" t="s">
        <v>0</v>
      </c>
      <c r="G171">
        <v>1</v>
      </c>
      <c r="H171">
        <v>2004</v>
      </c>
      <c r="I171" t="s">
        <v>38</v>
      </c>
      <c r="J171" t="s">
        <v>46</v>
      </c>
      <c r="K171" t="s">
        <v>225</v>
      </c>
      <c r="L171" t="s">
        <v>226</v>
      </c>
      <c r="M171" t="s">
        <v>227</v>
      </c>
      <c r="N171" t="s">
        <v>161</v>
      </c>
      <c r="O171" t="s">
        <v>177</v>
      </c>
      <c r="P171" t="s">
        <v>5</v>
      </c>
      <c r="Q171" t="s">
        <v>6</v>
      </c>
      <c r="R171" t="s">
        <v>349</v>
      </c>
      <c r="S171" t="s">
        <v>8</v>
      </c>
      <c r="T171" t="s">
        <v>338</v>
      </c>
      <c r="U171">
        <f>Sales_Order[[#This Row],[Quantity ordered]]*Sales_Order[[#This Row],[Price each]]</f>
        <v>3600</v>
      </c>
    </row>
    <row r="172" spans="1:21" x14ac:dyDescent="0.3">
      <c r="A172">
        <v>10271</v>
      </c>
      <c r="B172">
        <v>31</v>
      </c>
      <c r="C172">
        <v>97.17</v>
      </c>
      <c r="D172">
        <v>5</v>
      </c>
      <c r="E172" s="1">
        <v>38188</v>
      </c>
      <c r="F172" t="s">
        <v>0</v>
      </c>
      <c r="G172">
        <v>3</v>
      </c>
      <c r="H172">
        <v>2004</v>
      </c>
      <c r="I172" t="s">
        <v>38</v>
      </c>
      <c r="J172" t="s">
        <v>46</v>
      </c>
      <c r="K172" t="s">
        <v>225</v>
      </c>
      <c r="L172" t="s">
        <v>226</v>
      </c>
      <c r="M172" t="s">
        <v>227</v>
      </c>
      <c r="N172" t="s">
        <v>161</v>
      </c>
      <c r="O172" t="s">
        <v>177</v>
      </c>
      <c r="P172" t="s">
        <v>5</v>
      </c>
      <c r="Q172" t="s">
        <v>6</v>
      </c>
      <c r="R172" t="s">
        <v>349</v>
      </c>
      <c r="S172" t="s">
        <v>8</v>
      </c>
      <c r="T172" t="s">
        <v>339</v>
      </c>
      <c r="U172">
        <f>Sales_Order[[#This Row],[Quantity ordered]]*Sales_Order[[#This Row],[Price each]]</f>
        <v>3012.27</v>
      </c>
    </row>
    <row r="173" spans="1:21" x14ac:dyDescent="0.3">
      <c r="A173">
        <v>10281</v>
      </c>
      <c r="B173">
        <v>41</v>
      </c>
      <c r="C173">
        <v>100</v>
      </c>
      <c r="D173">
        <v>1</v>
      </c>
      <c r="E173" s="1">
        <v>38218</v>
      </c>
      <c r="F173" t="s">
        <v>0</v>
      </c>
      <c r="G173">
        <v>3</v>
      </c>
      <c r="H173">
        <v>2004</v>
      </c>
      <c r="I173" t="s">
        <v>38</v>
      </c>
      <c r="J173" t="s">
        <v>46</v>
      </c>
      <c r="K173" t="s">
        <v>183</v>
      </c>
      <c r="L173" t="s">
        <v>184</v>
      </c>
      <c r="M173" t="s">
        <v>185</v>
      </c>
      <c r="N173" t="s">
        <v>186</v>
      </c>
      <c r="O173" t="s">
        <v>187</v>
      </c>
      <c r="P173" t="s">
        <v>5</v>
      </c>
      <c r="Q173" t="s">
        <v>6</v>
      </c>
      <c r="R173" t="s">
        <v>333</v>
      </c>
      <c r="S173" t="s">
        <v>8</v>
      </c>
      <c r="T173" t="s">
        <v>322</v>
      </c>
      <c r="U173">
        <f>Sales_Order[[#This Row],[Quantity ordered]]*Sales_Order[[#This Row],[Price each]]</f>
        <v>4100</v>
      </c>
    </row>
    <row r="174" spans="1:21" x14ac:dyDescent="0.3">
      <c r="A174">
        <v>10292</v>
      </c>
      <c r="B174">
        <v>21</v>
      </c>
      <c r="C174">
        <v>100</v>
      </c>
      <c r="D174">
        <v>8</v>
      </c>
      <c r="E174" s="1">
        <v>38208</v>
      </c>
      <c r="F174" t="s">
        <v>0</v>
      </c>
      <c r="G174">
        <v>3</v>
      </c>
      <c r="H174">
        <v>2004</v>
      </c>
      <c r="I174" t="s">
        <v>38</v>
      </c>
      <c r="J174" t="s">
        <v>46</v>
      </c>
      <c r="K174" t="s">
        <v>155</v>
      </c>
      <c r="L174" t="s">
        <v>156</v>
      </c>
      <c r="M174" t="s">
        <v>3</v>
      </c>
      <c r="N174" t="s">
        <v>4</v>
      </c>
      <c r="O174" t="s">
        <v>135</v>
      </c>
      <c r="P174" t="s">
        <v>5</v>
      </c>
      <c r="Q174" t="s">
        <v>6</v>
      </c>
      <c r="R174" t="s">
        <v>319</v>
      </c>
      <c r="S174" t="s">
        <v>7</v>
      </c>
      <c r="T174" t="s">
        <v>361</v>
      </c>
      <c r="U174">
        <f>Sales_Order[[#This Row],[Quantity ordered]]*Sales_Order[[#This Row],[Price each]]</f>
        <v>2100</v>
      </c>
    </row>
    <row r="175" spans="1:21" x14ac:dyDescent="0.3">
      <c r="A175">
        <v>10305</v>
      </c>
      <c r="B175">
        <v>38</v>
      </c>
      <c r="C175">
        <v>100</v>
      </c>
      <c r="D175">
        <v>5</v>
      </c>
      <c r="E175" s="1">
        <v>38273</v>
      </c>
      <c r="F175" t="s">
        <v>0</v>
      </c>
      <c r="G175">
        <v>4</v>
      </c>
      <c r="H175">
        <v>2004</v>
      </c>
      <c r="I175" t="s">
        <v>38</v>
      </c>
      <c r="J175" t="s">
        <v>46</v>
      </c>
      <c r="K175" t="s">
        <v>178</v>
      </c>
      <c r="L175" t="s">
        <v>179</v>
      </c>
      <c r="M175" t="s">
        <v>180</v>
      </c>
      <c r="N175" t="s">
        <v>181</v>
      </c>
      <c r="O175" t="s">
        <v>182</v>
      </c>
      <c r="P175" t="s">
        <v>5</v>
      </c>
      <c r="Q175" t="s">
        <v>6</v>
      </c>
      <c r="R175" t="s">
        <v>332</v>
      </c>
      <c r="S175" t="s">
        <v>8</v>
      </c>
      <c r="T175" t="s">
        <v>324</v>
      </c>
      <c r="U175">
        <f>Sales_Order[[#This Row],[Quantity ordered]]*Sales_Order[[#This Row],[Price each]]</f>
        <v>3800</v>
      </c>
    </row>
    <row r="176" spans="1:21" x14ac:dyDescent="0.3">
      <c r="A176">
        <v>10324</v>
      </c>
      <c r="B176">
        <v>26</v>
      </c>
      <c r="C176">
        <v>58.38</v>
      </c>
      <c r="D176">
        <v>7</v>
      </c>
      <c r="E176" s="1">
        <v>38118</v>
      </c>
      <c r="F176" t="s">
        <v>0</v>
      </c>
      <c r="G176">
        <v>4</v>
      </c>
      <c r="H176">
        <v>2004</v>
      </c>
      <c r="I176" t="s">
        <v>38</v>
      </c>
      <c r="J176" t="s">
        <v>46</v>
      </c>
      <c r="K176" t="s">
        <v>15</v>
      </c>
      <c r="L176" t="s">
        <v>16</v>
      </c>
      <c r="M176" t="s">
        <v>3</v>
      </c>
      <c r="N176" t="s">
        <v>4</v>
      </c>
      <c r="O176" t="s">
        <v>135</v>
      </c>
      <c r="P176" t="s">
        <v>5</v>
      </c>
      <c r="Q176" t="s">
        <v>6</v>
      </c>
      <c r="R176" t="s">
        <v>326</v>
      </c>
      <c r="S176" t="s">
        <v>7</v>
      </c>
      <c r="T176" t="s">
        <v>334</v>
      </c>
      <c r="U176">
        <f>Sales_Order[[#This Row],[Quantity ordered]]*Sales_Order[[#This Row],[Price each]]</f>
        <v>1517.88</v>
      </c>
    </row>
    <row r="177" spans="1:21" x14ac:dyDescent="0.3">
      <c r="A177">
        <v>10349</v>
      </c>
      <c r="B177">
        <v>48</v>
      </c>
      <c r="C177">
        <v>100</v>
      </c>
      <c r="D177">
        <v>9</v>
      </c>
      <c r="E177" s="1">
        <v>37998</v>
      </c>
      <c r="F177" t="s">
        <v>0</v>
      </c>
      <c r="G177">
        <v>4</v>
      </c>
      <c r="H177">
        <v>2004</v>
      </c>
      <c r="I177" t="s">
        <v>38</v>
      </c>
      <c r="J177" t="s">
        <v>46</v>
      </c>
      <c r="K177" t="s">
        <v>36</v>
      </c>
      <c r="L177" t="s">
        <v>37</v>
      </c>
      <c r="M177" t="s">
        <v>3</v>
      </c>
      <c r="N177" t="s">
        <v>4</v>
      </c>
      <c r="O177" t="s">
        <v>135</v>
      </c>
      <c r="P177" t="s">
        <v>5</v>
      </c>
      <c r="Q177" t="s">
        <v>6</v>
      </c>
      <c r="R177" t="s">
        <v>366</v>
      </c>
      <c r="S177" t="s">
        <v>8</v>
      </c>
      <c r="T177" t="s">
        <v>336</v>
      </c>
      <c r="U177">
        <f>Sales_Order[[#This Row],[Quantity ordered]]*Sales_Order[[#This Row],[Price each]]</f>
        <v>4800</v>
      </c>
    </row>
    <row r="178" spans="1:21" x14ac:dyDescent="0.3">
      <c r="A178">
        <v>10371</v>
      </c>
      <c r="B178">
        <v>49</v>
      </c>
      <c r="C178">
        <v>35.71</v>
      </c>
      <c r="D178">
        <v>4</v>
      </c>
      <c r="E178" s="1">
        <v>38375</v>
      </c>
      <c r="F178" t="s">
        <v>0</v>
      </c>
      <c r="G178">
        <v>1</v>
      </c>
      <c r="H178">
        <v>2005</v>
      </c>
      <c r="I178" t="s">
        <v>38</v>
      </c>
      <c r="J178" t="s">
        <v>46</v>
      </c>
      <c r="K178" t="s">
        <v>225</v>
      </c>
      <c r="L178" t="s">
        <v>226</v>
      </c>
      <c r="M178" t="s">
        <v>227</v>
      </c>
      <c r="N178" t="s">
        <v>161</v>
      </c>
      <c r="O178" t="s">
        <v>177</v>
      </c>
      <c r="P178" t="s">
        <v>5</v>
      </c>
      <c r="Q178" t="s">
        <v>6</v>
      </c>
      <c r="R178" t="s">
        <v>349</v>
      </c>
      <c r="S178" t="s">
        <v>7</v>
      </c>
      <c r="T178" t="s">
        <v>345</v>
      </c>
      <c r="U178">
        <f>Sales_Order[[#This Row],[Quantity ordered]]*Sales_Order[[#This Row],[Price each]]</f>
        <v>1749.79</v>
      </c>
    </row>
    <row r="179" spans="1:21" x14ac:dyDescent="0.3">
      <c r="A179">
        <v>10382</v>
      </c>
      <c r="B179">
        <v>32</v>
      </c>
      <c r="C179">
        <v>66.58</v>
      </c>
      <c r="D179">
        <v>13</v>
      </c>
      <c r="E179" s="1">
        <v>38400</v>
      </c>
      <c r="F179" t="s">
        <v>0</v>
      </c>
      <c r="G179">
        <v>1</v>
      </c>
      <c r="H179">
        <v>2005</v>
      </c>
      <c r="I179" t="s">
        <v>38</v>
      </c>
      <c r="J179" t="s">
        <v>46</v>
      </c>
      <c r="K179" t="s">
        <v>225</v>
      </c>
      <c r="L179" t="s">
        <v>226</v>
      </c>
      <c r="M179" t="s">
        <v>227</v>
      </c>
      <c r="N179" t="s">
        <v>161</v>
      </c>
      <c r="O179" t="s">
        <v>177</v>
      </c>
      <c r="P179" t="s">
        <v>5</v>
      </c>
      <c r="Q179" t="s">
        <v>6</v>
      </c>
      <c r="R179" t="s">
        <v>349</v>
      </c>
      <c r="S179" t="s">
        <v>7</v>
      </c>
      <c r="T179" t="s">
        <v>320</v>
      </c>
      <c r="U179">
        <f>Sales_Order[[#This Row],[Quantity ordered]]*Sales_Order[[#This Row],[Price each]]</f>
        <v>2130.56</v>
      </c>
    </row>
    <row r="180" spans="1:21" x14ac:dyDescent="0.3">
      <c r="A180">
        <v>10135</v>
      </c>
      <c r="B180">
        <v>29</v>
      </c>
      <c r="C180">
        <v>97.89</v>
      </c>
      <c r="D180">
        <v>4</v>
      </c>
      <c r="E180" s="1">
        <v>37659</v>
      </c>
      <c r="F180" t="s">
        <v>0</v>
      </c>
      <c r="G180">
        <v>3</v>
      </c>
      <c r="H180">
        <v>2003</v>
      </c>
      <c r="I180" t="s">
        <v>22</v>
      </c>
      <c r="J180" t="s">
        <v>289</v>
      </c>
      <c r="K180" t="s">
        <v>225</v>
      </c>
      <c r="L180" t="s">
        <v>226</v>
      </c>
      <c r="M180" t="s">
        <v>227</v>
      </c>
      <c r="N180" t="s">
        <v>161</v>
      </c>
      <c r="O180" t="s">
        <v>177</v>
      </c>
      <c r="P180" t="s">
        <v>5</v>
      </c>
      <c r="Q180" t="s">
        <v>6</v>
      </c>
      <c r="R180" t="s">
        <v>349</v>
      </c>
      <c r="S180" t="s">
        <v>7</v>
      </c>
      <c r="T180" t="s">
        <v>339</v>
      </c>
      <c r="U180">
        <f>Sales_Order[[#This Row],[Quantity ordered]]*Sales_Order[[#This Row],[Price each]]</f>
        <v>2838.81</v>
      </c>
    </row>
    <row r="181" spans="1:21" x14ac:dyDescent="0.3">
      <c r="A181">
        <v>10147</v>
      </c>
      <c r="B181">
        <v>33</v>
      </c>
      <c r="C181">
        <v>97.89</v>
      </c>
      <c r="D181">
        <v>4</v>
      </c>
      <c r="E181" s="1">
        <v>37750</v>
      </c>
      <c r="F181" t="s">
        <v>0</v>
      </c>
      <c r="G181">
        <v>3</v>
      </c>
      <c r="H181">
        <v>2003</v>
      </c>
      <c r="I181" t="s">
        <v>22</v>
      </c>
      <c r="J181" t="s">
        <v>289</v>
      </c>
      <c r="K181" t="s">
        <v>233</v>
      </c>
      <c r="L181" t="s">
        <v>234</v>
      </c>
      <c r="M181" t="s">
        <v>235</v>
      </c>
      <c r="N181" t="s">
        <v>181</v>
      </c>
      <c r="O181" t="s">
        <v>236</v>
      </c>
      <c r="P181" t="s">
        <v>5</v>
      </c>
      <c r="Q181" t="s">
        <v>6</v>
      </c>
      <c r="R181" t="s">
        <v>351</v>
      </c>
      <c r="S181" t="s">
        <v>8</v>
      </c>
      <c r="T181" t="s">
        <v>361</v>
      </c>
      <c r="U181">
        <f>Sales_Order[[#This Row],[Quantity ordered]]*Sales_Order[[#This Row],[Price each]]</f>
        <v>3230.37</v>
      </c>
    </row>
    <row r="182" spans="1:21" x14ac:dyDescent="0.3">
      <c r="A182">
        <v>10192</v>
      </c>
      <c r="B182">
        <v>27</v>
      </c>
      <c r="C182">
        <v>100</v>
      </c>
      <c r="D182">
        <v>16</v>
      </c>
      <c r="E182" s="1">
        <v>37945</v>
      </c>
      <c r="F182" t="s">
        <v>0</v>
      </c>
      <c r="G182">
        <v>4</v>
      </c>
      <c r="H182">
        <v>2003</v>
      </c>
      <c r="I182" t="s">
        <v>22</v>
      </c>
      <c r="J182" t="s">
        <v>289</v>
      </c>
      <c r="K182" t="s">
        <v>228</v>
      </c>
      <c r="L182" t="s">
        <v>229</v>
      </c>
      <c r="M182" t="s">
        <v>230</v>
      </c>
      <c r="N182" t="s">
        <v>231</v>
      </c>
      <c r="O182" t="s">
        <v>232</v>
      </c>
      <c r="P182" t="s">
        <v>5</v>
      </c>
      <c r="Q182" t="s">
        <v>6</v>
      </c>
      <c r="R182" t="s">
        <v>350</v>
      </c>
      <c r="S182" t="s">
        <v>8</v>
      </c>
      <c r="T182" t="s">
        <v>334</v>
      </c>
      <c r="U182">
        <f>Sales_Order[[#This Row],[Quantity ordered]]*Sales_Order[[#This Row],[Price each]]</f>
        <v>2700</v>
      </c>
    </row>
    <row r="183" spans="1:21" x14ac:dyDescent="0.3">
      <c r="A183">
        <v>10321</v>
      </c>
      <c r="B183">
        <v>24</v>
      </c>
      <c r="C183">
        <v>100</v>
      </c>
      <c r="D183">
        <v>15</v>
      </c>
      <c r="E183" s="1">
        <v>38088</v>
      </c>
      <c r="F183" t="s">
        <v>0</v>
      </c>
      <c r="G183">
        <v>4</v>
      </c>
      <c r="H183">
        <v>2004</v>
      </c>
      <c r="I183" t="s">
        <v>22</v>
      </c>
      <c r="J183" t="s">
        <v>289</v>
      </c>
      <c r="K183" t="s">
        <v>189</v>
      </c>
      <c r="L183" t="s">
        <v>190</v>
      </c>
      <c r="M183" t="s">
        <v>191</v>
      </c>
      <c r="N183" t="s">
        <v>181</v>
      </c>
      <c r="O183" t="s">
        <v>192</v>
      </c>
      <c r="P183" t="s">
        <v>5</v>
      </c>
      <c r="Q183" t="s">
        <v>6</v>
      </c>
      <c r="R183" t="s">
        <v>337</v>
      </c>
      <c r="S183" t="s">
        <v>7</v>
      </c>
      <c r="T183" t="s">
        <v>334</v>
      </c>
      <c r="U183">
        <f>Sales_Order[[#This Row],[Quantity ordered]]*Sales_Order[[#This Row],[Price each]]</f>
        <v>2400</v>
      </c>
    </row>
    <row r="184" spans="1:21" x14ac:dyDescent="0.3">
      <c r="A184">
        <v>10329</v>
      </c>
      <c r="B184">
        <v>39</v>
      </c>
      <c r="C184">
        <v>64.739999999999995</v>
      </c>
      <c r="D184">
        <v>15</v>
      </c>
      <c r="E184" s="1">
        <v>38306</v>
      </c>
      <c r="F184" t="s">
        <v>0</v>
      </c>
      <c r="G184">
        <v>4</v>
      </c>
      <c r="H184">
        <v>2004</v>
      </c>
      <c r="I184" t="s">
        <v>22</v>
      </c>
      <c r="J184" t="s">
        <v>289</v>
      </c>
      <c r="K184" t="s">
        <v>155</v>
      </c>
      <c r="L184" t="s">
        <v>156</v>
      </c>
      <c r="M184" t="s">
        <v>3</v>
      </c>
      <c r="N184" t="s">
        <v>4</v>
      </c>
      <c r="O184" t="s">
        <v>135</v>
      </c>
      <c r="P184" t="s">
        <v>5</v>
      </c>
      <c r="Q184" t="s">
        <v>6</v>
      </c>
      <c r="R184" t="s">
        <v>319</v>
      </c>
      <c r="S184" t="s">
        <v>7</v>
      </c>
      <c r="T184" t="s">
        <v>334</v>
      </c>
      <c r="U184">
        <f>Sales_Order[[#This Row],[Quantity ordered]]*Sales_Order[[#This Row],[Price each]]</f>
        <v>2524.8599999999997</v>
      </c>
    </row>
    <row r="185" spans="1:21" x14ac:dyDescent="0.3">
      <c r="A185">
        <v>10113</v>
      </c>
      <c r="B185">
        <v>49</v>
      </c>
      <c r="C185">
        <v>100</v>
      </c>
      <c r="D185">
        <v>4</v>
      </c>
      <c r="E185" s="1">
        <v>37706</v>
      </c>
      <c r="F185" t="s">
        <v>0</v>
      </c>
      <c r="G185">
        <v>1</v>
      </c>
      <c r="H185">
        <v>2003</v>
      </c>
      <c r="I185" t="s">
        <v>38</v>
      </c>
      <c r="J185" t="s">
        <v>47</v>
      </c>
      <c r="K185" t="s">
        <v>225</v>
      </c>
      <c r="L185" t="s">
        <v>226</v>
      </c>
      <c r="M185" t="s">
        <v>227</v>
      </c>
      <c r="N185" t="s">
        <v>161</v>
      </c>
      <c r="O185" t="s">
        <v>177</v>
      </c>
      <c r="P185" t="s">
        <v>5</v>
      </c>
      <c r="Q185" t="s">
        <v>6</v>
      </c>
      <c r="R185" t="s">
        <v>349</v>
      </c>
      <c r="S185" t="s">
        <v>8</v>
      </c>
      <c r="T185" t="s">
        <v>338</v>
      </c>
      <c r="U185">
        <f>Sales_Order[[#This Row],[Quantity ordered]]*Sales_Order[[#This Row],[Price each]]</f>
        <v>4900</v>
      </c>
    </row>
    <row r="186" spans="1:21" x14ac:dyDescent="0.3">
      <c r="A186">
        <v>10140</v>
      </c>
      <c r="B186">
        <v>32</v>
      </c>
      <c r="C186">
        <v>100</v>
      </c>
      <c r="D186">
        <v>10</v>
      </c>
      <c r="E186" s="1">
        <v>37826</v>
      </c>
      <c r="F186" t="s">
        <v>0</v>
      </c>
      <c r="G186">
        <v>3</v>
      </c>
      <c r="H186">
        <v>2003</v>
      </c>
      <c r="I186" t="s">
        <v>38</v>
      </c>
      <c r="J186" t="s">
        <v>47</v>
      </c>
      <c r="K186" t="s">
        <v>163</v>
      </c>
      <c r="L186" t="s">
        <v>164</v>
      </c>
      <c r="M186" t="s">
        <v>165</v>
      </c>
      <c r="N186" t="s">
        <v>161</v>
      </c>
      <c r="O186" t="s">
        <v>166</v>
      </c>
      <c r="P186" t="s">
        <v>5</v>
      </c>
      <c r="Q186" t="s">
        <v>6</v>
      </c>
      <c r="R186" t="s">
        <v>323</v>
      </c>
      <c r="S186" t="s">
        <v>8</v>
      </c>
      <c r="T186" t="s">
        <v>339</v>
      </c>
      <c r="U186">
        <f>Sales_Order[[#This Row],[Quantity ordered]]*Sales_Order[[#This Row],[Price each]]</f>
        <v>3200</v>
      </c>
    </row>
    <row r="187" spans="1:21" x14ac:dyDescent="0.3">
      <c r="A187">
        <v>10174</v>
      </c>
      <c r="B187">
        <v>48</v>
      </c>
      <c r="C187">
        <v>93.34</v>
      </c>
      <c r="D187">
        <v>3</v>
      </c>
      <c r="E187" s="1">
        <v>37783</v>
      </c>
      <c r="F187" t="s">
        <v>0</v>
      </c>
      <c r="G187">
        <v>4</v>
      </c>
      <c r="H187">
        <v>2003</v>
      </c>
      <c r="I187" t="s">
        <v>38</v>
      </c>
      <c r="J187" t="s">
        <v>47</v>
      </c>
      <c r="K187" t="s">
        <v>196</v>
      </c>
      <c r="L187" t="s">
        <v>197</v>
      </c>
      <c r="M187" t="s">
        <v>198</v>
      </c>
      <c r="N187" t="s">
        <v>199</v>
      </c>
      <c r="O187" t="s">
        <v>200</v>
      </c>
      <c r="P187" t="s">
        <v>13</v>
      </c>
      <c r="Q187" t="s">
        <v>14</v>
      </c>
      <c r="R187" t="s">
        <v>341</v>
      </c>
      <c r="S187" t="s">
        <v>8</v>
      </c>
      <c r="T187" t="s">
        <v>334</v>
      </c>
      <c r="U187">
        <f>Sales_Order[[#This Row],[Quantity ordered]]*Sales_Order[[#This Row],[Price each]]</f>
        <v>4480.32</v>
      </c>
    </row>
    <row r="188" spans="1:21" x14ac:dyDescent="0.3">
      <c r="A188">
        <v>10183</v>
      </c>
      <c r="B188">
        <v>21</v>
      </c>
      <c r="C188">
        <v>96.84</v>
      </c>
      <c r="D188">
        <v>7</v>
      </c>
      <c r="E188" s="1">
        <v>37938</v>
      </c>
      <c r="F188" t="s">
        <v>0</v>
      </c>
      <c r="G188">
        <v>4</v>
      </c>
      <c r="H188">
        <v>2003</v>
      </c>
      <c r="I188" t="s">
        <v>38</v>
      </c>
      <c r="J188" t="s">
        <v>47</v>
      </c>
      <c r="K188" t="s">
        <v>201</v>
      </c>
      <c r="L188" t="s">
        <v>202</v>
      </c>
      <c r="M188" t="s">
        <v>203</v>
      </c>
      <c r="N188" t="s">
        <v>186</v>
      </c>
      <c r="O188" t="s">
        <v>204</v>
      </c>
      <c r="P188" t="s">
        <v>5</v>
      </c>
      <c r="Q188" t="s">
        <v>6</v>
      </c>
      <c r="R188" t="s">
        <v>342</v>
      </c>
      <c r="S188" t="s">
        <v>7</v>
      </c>
      <c r="T188" t="s">
        <v>334</v>
      </c>
      <c r="U188">
        <f>Sales_Order[[#This Row],[Quantity ordered]]*Sales_Order[[#This Row],[Price each]]</f>
        <v>2033.64</v>
      </c>
    </row>
    <row r="189" spans="1:21" x14ac:dyDescent="0.3">
      <c r="A189">
        <v>10206</v>
      </c>
      <c r="B189">
        <v>34</v>
      </c>
      <c r="C189">
        <v>100</v>
      </c>
      <c r="D189">
        <v>5</v>
      </c>
      <c r="E189" s="1">
        <v>37753</v>
      </c>
      <c r="F189" t="s">
        <v>0</v>
      </c>
      <c r="G189">
        <v>4</v>
      </c>
      <c r="H189">
        <v>2003</v>
      </c>
      <c r="I189" t="s">
        <v>38</v>
      </c>
      <c r="J189" t="s">
        <v>47</v>
      </c>
      <c r="K189" t="s">
        <v>205</v>
      </c>
      <c r="L189" t="s">
        <v>206</v>
      </c>
      <c r="M189" t="s">
        <v>207</v>
      </c>
      <c r="N189" t="s">
        <v>208</v>
      </c>
      <c r="O189" t="s">
        <v>209</v>
      </c>
      <c r="P189" t="s">
        <v>210</v>
      </c>
      <c r="Q189" t="s">
        <v>6</v>
      </c>
      <c r="R189" t="s">
        <v>343</v>
      </c>
      <c r="S189" t="s">
        <v>8</v>
      </c>
      <c r="T189" t="s">
        <v>336</v>
      </c>
      <c r="U189">
        <f>Sales_Order[[#This Row],[Quantity ordered]]*Sales_Order[[#This Row],[Price each]]</f>
        <v>3400</v>
      </c>
    </row>
    <row r="190" spans="1:21" x14ac:dyDescent="0.3">
      <c r="A190">
        <v>10215</v>
      </c>
      <c r="B190">
        <v>46</v>
      </c>
      <c r="C190">
        <v>100</v>
      </c>
      <c r="D190">
        <v>2</v>
      </c>
      <c r="E190" s="1">
        <v>38015</v>
      </c>
      <c r="F190" t="s">
        <v>0</v>
      </c>
      <c r="G190">
        <v>1</v>
      </c>
      <c r="H190">
        <v>2004</v>
      </c>
      <c r="I190" t="s">
        <v>38</v>
      </c>
      <c r="J190" t="s">
        <v>47</v>
      </c>
      <c r="K190" t="s">
        <v>211</v>
      </c>
      <c r="L190" t="s">
        <v>212</v>
      </c>
      <c r="M190" t="s">
        <v>213</v>
      </c>
      <c r="N190" t="s">
        <v>161</v>
      </c>
      <c r="O190" t="s">
        <v>172</v>
      </c>
      <c r="P190" t="s">
        <v>5</v>
      </c>
      <c r="Q190" t="s">
        <v>6</v>
      </c>
      <c r="R190" t="s">
        <v>344</v>
      </c>
      <c r="S190" t="s">
        <v>8</v>
      </c>
      <c r="T190" t="s">
        <v>345</v>
      </c>
      <c r="U190">
        <f>Sales_Order[[#This Row],[Quantity ordered]]*Sales_Order[[#This Row],[Price each]]</f>
        <v>4600</v>
      </c>
    </row>
    <row r="191" spans="1:21" x14ac:dyDescent="0.3">
      <c r="A191">
        <v>10228</v>
      </c>
      <c r="B191">
        <v>32</v>
      </c>
      <c r="C191">
        <v>100</v>
      </c>
      <c r="D191">
        <v>1</v>
      </c>
      <c r="E191" s="1">
        <v>38263</v>
      </c>
      <c r="F191" t="s">
        <v>0</v>
      </c>
      <c r="G191">
        <v>1</v>
      </c>
      <c r="H191">
        <v>2004</v>
      </c>
      <c r="I191" t="s">
        <v>38</v>
      </c>
      <c r="J191" t="s">
        <v>47</v>
      </c>
      <c r="K191" t="s">
        <v>214</v>
      </c>
      <c r="L191" t="s">
        <v>215</v>
      </c>
      <c r="M191" t="s">
        <v>180</v>
      </c>
      <c r="N191" t="s">
        <v>181</v>
      </c>
      <c r="O191" t="s">
        <v>182</v>
      </c>
      <c r="P191" t="s">
        <v>5</v>
      </c>
      <c r="Q191" t="s">
        <v>6</v>
      </c>
      <c r="R191" t="s">
        <v>346</v>
      </c>
      <c r="S191" t="s">
        <v>8</v>
      </c>
      <c r="T191" t="s">
        <v>338</v>
      </c>
      <c r="U191">
        <f>Sales_Order[[#This Row],[Quantity ordered]]*Sales_Order[[#This Row],[Price each]]</f>
        <v>3200</v>
      </c>
    </row>
    <row r="192" spans="1:21" x14ac:dyDescent="0.3">
      <c r="A192">
        <v>10245</v>
      </c>
      <c r="B192">
        <v>29</v>
      </c>
      <c r="C192">
        <v>100</v>
      </c>
      <c r="D192">
        <v>8</v>
      </c>
      <c r="E192" s="1">
        <v>38082</v>
      </c>
      <c r="F192" t="s">
        <v>0</v>
      </c>
      <c r="G192">
        <v>2</v>
      </c>
      <c r="H192">
        <v>2004</v>
      </c>
      <c r="I192" t="s">
        <v>38</v>
      </c>
      <c r="J192" t="s">
        <v>47</v>
      </c>
      <c r="K192" t="s">
        <v>216</v>
      </c>
      <c r="L192" t="s">
        <v>217</v>
      </c>
      <c r="M192" t="s">
        <v>218</v>
      </c>
      <c r="N192" t="s">
        <v>176</v>
      </c>
      <c r="O192" t="s">
        <v>219</v>
      </c>
      <c r="P192" t="s">
        <v>5</v>
      </c>
      <c r="Q192" t="s">
        <v>6</v>
      </c>
      <c r="R192" t="s">
        <v>347</v>
      </c>
      <c r="S192" t="s">
        <v>8</v>
      </c>
      <c r="T192" t="s">
        <v>329</v>
      </c>
      <c r="U192">
        <f>Sales_Order[[#This Row],[Quantity ordered]]*Sales_Order[[#This Row],[Price each]]</f>
        <v>2900</v>
      </c>
    </row>
    <row r="193" spans="1:21" x14ac:dyDescent="0.3">
      <c r="A193">
        <v>10258</v>
      </c>
      <c r="B193">
        <v>41</v>
      </c>
      <c r="C193">
        <v>100</v>
      </c>
      <c r="D193">
        <v>5</v>
      </c>
      <c r="E193" s="1">
        <v>38153</v>
      </c>
      <c r="F193" t="s">
        <v>0</v>
      </c>
      <c r="G193">
        <v>2</v>
      </c>
      <c r="H193">
        <v>2004</v>
      </c>
      <c r="I193" t="s">
        <v>38</v>
      </c>
      <c r="J193" t="s">
        <v>47</v>
      </c>
      <c r="K193" t="s">
        <v>220</v>
      </c>
      <c r="L193" t="s">
        <v>221</v>
      </c>
      <c r="M193" t="s">
        <v>222</v>
      </c>
      <c r="N193" t="s">
        <v>223</v>
      </c>
      <c r="O193" t="s">
        <v>224</v>
      </c>
      <c r="P193" t="s">
        <v>195</v>
      </c>
      <c r="Q193" t="s">
        <v>195</v>
      </c>
      <c r="R193" t="s">
        <v>348</v>
      </c>
      <c r="S193" t="s">
        <v>8</v>
      </c>
      <c r="T193" t="s">
        <v>331</v>
      </c>
      <c r="U193">
        <f>Sales_Order[[#This Row],[Quantity ordered]]*Sales_Order[[#This Row],[Price each]]</f>
        <v>4100</v>
      </c>
    </row>
    <row r="194" spans="1:21" x14ac:dyDescent="0.3">
      <c r="A194">
        <v>10270</v>
      </c>
      <c r="B194">
        <v>43</v>
      </c>
      <c r="C194">
        <v>96.84</v>
      </c>
      <c r="D194">
        <v>8</v>
      </c>
      <c r="E194" s="1">
        <v>38187</v>
      </c>
      <c r="F194" t="s">
        <v>0</v>
      </c>
      <c r="G194">
        <v>3</v>
      </c>
      <c r="H194">
        <v>2004</v>
      </c>
      <c r="I194" t="s">
        <v>38</v>
      </c>
      <c r="J194" t="s">
        <v>47</v>
      </c>
      <c r="K194" t="s">
        <v>18</v>
      </c>
      <c r="L194" t="s">
        <v>19</v>
      </c>
      <c r="M194" t="s">
        <v>20</v>
      </c>
      <c r="N194" t="s">
        <v>21</v>
      </c>
      <c r="O194" t="s">
        <v>136</v>
      </c>
      <c r="P194" t="s">
        <v>13</v>
      </c>
      <c r="Q194" t="s">
        <v>14</v>
      </c>
      <c r="R194" t="s">
        <v>335</v>
      </c>
      <c r="S194" t="s">
        <v>8</v>
      </c>
      <c r="T194" t="s">
        <v>339</v>
      </c>
      <c r="U194">
        <f>Sales_Order[[#This Row],[Quantity ordered]]*Sales_Order[[#This Row],[Price each]]</f>
        <v>4164.12</v>
      </c>
    </row>
    <row r="195" spans="1:21" x14ac:dyDescent="0.3">
      <c r="A195">
        <v>10312</v>
      </c>
      <c r="B195">
        <v>32</v>
      </c>
      <c r="C195">
        <v>100</v>
      </c>
      <c r="D195">
        <v>2</v>
      </c>
      <c r="E195" s="1">
        <v>38281</v>
      </c>
      <c r="F195" t="s">
        <v>0</v>
      </c>
      <c r="G195">
        <v>4</v>
      </c>
      <c r="H195">
        <v>2004</v>
      </c>
      <c r="I195" t="s">
        <v>38</v>
      </c>
      <c r="J195" t="s">
        <v>47</v>
      </c>
      <c r="K195" t="s">
        <v>225</v>
      </c>
      <c r="L195" t="s">
        <v>226</v>
      </c>
      <c r="M195" t="s">
        <v>227</v>
      </c>
      <c r="N195" t="s">
        <v>161</v>
      </c>
      <c r="O195" t="s">
        <v>177</v>
      </c>
      <c r="P195" t="s">
        <v>5</v>
      </c>
      <c r="Q195" t="s">
        <v>6</v>
      </c>
      <c r="R195" t="s">
        <v>349</v>
      </c>
      <c r="S195" t="s">
        <v>8</v>
      </c>
      <c r="T195" t="s">
        <v>324</v>
      </c>
      <c r="U195">
        <f>Sales_Order[[#This Row],[Quantity ordered]]*Sales_Order[[#This Row],[Price each]]</f>
        <v>3200</v>
      </c>
    </row>
    <row r="196" spans="1:21" x14ac:dyDescent="0.3">
      <c r="A196">
        <v>10322</v>
      </c>
      <c r="B196">
        <v>22</v>
      </c>
      <c r="C196">
        <v>100</v>
      </c>
      <c r="D196">
        <v>10</v>
      </c>
      <c r="E196" s="1">
        <v>38088</v>
      </c>
      <c r="F196" t="s">
        <v>0</v>
      </c>
      <c r="G196">
        <v>4</v>
      </c>
      <c r="H196">
        <v>2004</v>
      </c>
      <c r="I196" t="s">
        <v>38</v>
      </c>
      <c r="J196" t="s">
        <v>47</v>
      </c>
      <c r="K196" t="s">
        <v>228</v>
      </c>
      <c r="L196" t="s">
        <v>229</v>
      </c>
      <c r="M196" t="s">
        <v>230</v>
      </c>
      <c r="N196" t="s">
        <v>231</v>
      </c>
      <c r="O196" t="s">
        <v>232</v>
      </c>
      <c r="P196" t="s">
        <v>5</v>
      </c>
      <c r="Q196" t="s">
        <v>6</v>
      </c>
      <c r="R196" t="s">
        <v>350</v>
      </c>
      <c r="S196" t="s">
        <v>7</v>
      </c>
      <c r="T196" t="s">
        <v>334</v>
      </c>
      <c r="U196">
        <f>Sales_Order[[#This Row],[Quantity ordered]]*Sales_Order[[#This Row],[Price each]]</f>
        <v>2200</v>
      </c>
    </row>
    <row r="197" spans="1:21" x14ac:dyDescent="0.3">
      <c r="A197">
        <v>10347</v>
      </c>
      <c r="B197">
        <v>42</v>
      </c>
      <c r="C197">
        <v>49.6</v>
      </c>
      <c r="D197">
        <v>5</v>
      </c>
      <c r="E197" s="1">
        <v>38320</v>
      </c>
      <c r="F197" t="s">
        <v>0</v>
      </c>
      <c r="G197">
        <v>4</v>
      </c>
      <c r="H197">
        <v>2004</v>
      </c>
      <c r="I197" t="s">
        <v>38</v>
      </c>
      <c r="J197" t="s">
        <v>47</v>
      </c>
      <c r="K197" t="s">
        <v>9</v>
      </c>
      <c r="L197" t="s">
        <v>10</v>
      </c>
      <c r="M197" t="s">
        <v>11</v>
      </c>
      <c r="N197" t="s">
        <v>12</v>
      </c>
      <c r="O197" t="s">
        <v>134</v>
      </c>
      <c r="P197" t="s">
        <v>13</v>
      </c>
      <c r="Q197" t="s">
        <v>14</v>
      </c>
      <c r="R197" t="s">
        <v>325</v>
      </c>
      <c r="S197" t="s">
        <v>7</v>
      </c>
      <c r="T197" t="s">
        <v>334</v>
      </c>
      <c r="U197">
        <f>Sales_Order[[#This Row],[Quantity ordered]]*Sales_Order[[#This Row],[Price each]]</f>
        <v>2083.2000000000003</v>
      </c>
    </row>
    <row r="198" spans="1:21" x14ac:dyDescent="0.3">
      <c r="A198">
        <v>10357</v>
      </c>
      <c r="B198">
        <v>39</v>
      </c>
      <c r="C198">
        <v>98</v>
      </c>
      <c r="D198">
        <v>1</v>
      </c>
      <c r="E198" s="1">
        <v>38272</v>
      </c>
      <c r="F198" t="s">
        <v>0</v>
      </c>
      <c r="G198">
        <v>4</v>
      </c>
      <c r="H198">
        <v>2004</v>
      </c>
      <c r="I198" t="s">
        <v>38</v>
      </c>
      <c r="J198" t="s">
        <v>47</v>
      </c>
      <c r="K198" t="s">
        <v>225</v>
      </c>
      <c r="L198" t="s">
        <v>226</v>
      </c>
      <c r="M198" t="s">
        <v>227</v>
      </c>
      <c r="N198" t="s">
        <v>161</v>
      </c>
      <c r="O198" t="s">
        <v>177</v>
      </c>
      <c r="P198" t="s">
        <v>5</v>
      </c>
      <c r="Q198" t="s">
        <v>6</v>
      </c>
      <c r="R198" t="s">
        <v>349</v>
      </c>
      <c r="S198" t="s">
        <v>8</v>
      </c>
      <c r="T198" t="s">
        <v>336</v>
      </c>
      <c r="U198">
        <f>Sales_Order[[#This Row],[Quantity ordered]]*Sales_Order[[#This Row],[Price each]]</f>
        <v>3822</v>
      </c>
    </row>
    <row r="199" spans="1:21" x14ac:dyDescent="0.3">
      <c r="A199">
        <v>10370</v>
      </c>
      <c r="B199">
        <v>27</v>
      </c>
      <c r="C199">
        <v>100</v>
      </c>
      <c r="D199">
        <v>1</v>
      </c>
      <c r="E199" s="1">
        <v>38372</v>
      </c>
      <c r="F199" t="s">
        <v>0</v>
      </c>
      <c r="G199">
        <v>1</v>
      </c>
      <c r="H199">
        <v>2005</v>
      </c>
      <c r="I199" t="s">
        <v>38</v>
      </c>
      <c r="J199" t="s">
        <v>47</v>
      </c>
      <c r="K199" t="s">
        <v>26</v>
      </c>
      <c r="L199" t="s">
        <v>27</v>
      </c>
      <c r="M199" t="s">
        <v>28</v>
      </c>
      <c r="N199" t="s">
        <v>21</v>
      </c>
      <c r="O199" t="s">
        <v>137</v>
      </c>
      <c r="P199" t="s">
        <v>13</v>
      </c>
      <c r="Q199" t="s">
        <v>14</v>
      </c>
      <c r="R199" t="s">
        <v>352</v>
      </c>
      <c r="S199" t="s">
        <v>8</v>
      </c>
      <c r="T199" t="s">
        <v>345</v>
      </c>
      <c r="U199">
        <f>Sales_Order[[#This Row],[Quantity ordered]]*Sales_Order[[#This Row],[Price each]]</f>
        <v>2700</v>
      </c>
    </row>
    <row r="200" spans="1:21" x14ac:dyDescent="0.3">
      <c r="A200">
        <v>10391</v>
      </c>
      <c r="B200">
        <v>29</v>
      </c>
      <c r="C200">
        <v>85.1</v>
      </c>
      <c r="D200">
        <v>10</v>
      </c>
      <c r="E200" s="1">
        <v>38598</v>
      </c>
      <c r="F200" t="s">
        <v>0</v>
      </c>
      <c r="G200">
        <v>1</v>
      </c>
      <c r="H200">
        <v>2005</v>
      </c>
      <c r="I200" t="s">
        <v>38</v>
      </c>
      <c r="J200" t="s">
        <v>47</v>
      </c>
      <c r="K200" t="s">
        <v>26</v>
      </c>
      <c r="L200" t="s">
        <v>27</v>
      </c>
      <c r="M200" t="s">
        <v>28</v>
      </c>
      <c r="N200" t="s">
        <v>21</v>
      </c>
      <c r="O200" t="s">
        <v>137</v>
      </c>
      <c r="P200" t="s">
        <v>13</v>
      </c>
      <c r="Q200" t="s">
        <v>14</v>
      </c>
      <c r="R200" t="s">
        <v>352</v>
      </c>
      <c r="S200" t="s">
        <v>7</v>
      </c>
      <c r="T200" t="s">
        <v>338</v>
      </c>
      <c r="U200">
        <f>Sales_Order[[#This Row],[Quantity ordered]]*Sales_Order[[#This Row],[Price each]]</f>
        <v>2467.8999999999996</v>
      </c>
    </row>
    <row r="201" spans="1:21" x14ac:dyDescent="0.3">
      <c r="A201">
        <v>10411</v>
      </c>
      <c r="B201">
        <v>27</v>
      </c>
      <c r="C201">
        <v>100</v>
      </c>
      <c r="D201">
        <v>8</v>
      </c>
      <c r="E201" s="1">
        <v>38357</v>
      </c>
      <c r="F201" t="s">
        <v>0</v>
      </c>
      <c r="G201">
        <v>2</v>
      </c>
      <c r="H201">
        <v>2005</v>
      </c>
      <c r="I201" t="s">
        <v>38</v>
      </c>
      <c r="J201" t="s">
        <v>47</v>
      </c>
      <c r="K201" t="s">
        <v>237</v>
      </c>
      <c r="L201" t="s">
        <v>238</v>
      </c>
      <c r="M201" t="s">
        <v>239</v>
      </c>
      <c r="N201" t="s">
        <v>240</v>
      </c>
      <c r="O201" t="s">
        <v>241</v>
      </c>
      <c r="P201" t="s">
        <v>210</v>
      </c>
      <c r="Q201" t="s">
        <v>6</v>
      </c>
      <c r="R201" t="s">
        <v>353</v>
      </c>
      <c r="S201" t="s">
        <v>8</v>
      </c>
      <c r="T201" t="s">
        <v>329</v>
      </c>
      <c r="U201">
        <f>Sales_Order[[#This Row],[Quantity ordered]]*Sales_Order[[#This Row],[Price each]]</f>
        <v>2700</v>
      </c>
    </row>
    <row r="202" spans="1:21" x14ac:dyDescent="0.3">
      <c r="A202">
        <v>10109</v>
      </c>
      <c r="B202">
        <v>26</v>
      </c>
      <c r="C202">
        <v>100</v>
      </c>
      <c r="D202">
        <v>4</v>
      </c>
      <c r="E202" s="1">
        <v>37897</v>
      </c>
      <c r="F202" t="s">
        <v>0</v>
      </c>
      <c r="G202">
        <v>1</v>
      </c>
      <c r="H202">
        <v>2003</v>
      </c>
      <c r="I202" t="s">
        <v>22</v>
      </c>
      <c r="J202" t="s">
        <v>48</v>
      </c>
      <c r="K202" t="s">
        <v>246</v>
      </c>
      <c r="L202" t="s">
        <v>247</v>
      </c>
      <c r="M202" t="s">
        <v>203</v>
      </c>
      <c r="N202" t="s">
        <v>186</v>
      </c>
      <c r="O202" t="s">
        <v>204</v>
      </c>
      <c r="P202" t="s">
        <v>5</v>
      </c>
      <c r="Q202" t="s">
        <v>6</v>
      </c>
      <c r="R202" t="s">
        <v>355</v>
      </c>
      <c r="S202" t="s">
        <v>8</v>
      </c>
      <c r="T202" t="s">
        <v>338</v>
      </c>
      <c r="U202">
        <f>Sales_Order[[#This Row],[Quantity ordered]]*Sales_Order[[#This Row],[Price each]]</f>
        <v>2600</v>
      </c>
    </row>
    <row r="203" spans="1:21" x14ac:dyDescent="0.3">
      <c r="A203">
        <v>10148</v>
      </c>
      <c r="B203">
        <v>23</v>
      </c>
      <c r="C203">
        <v>100</v>
      </c>
      <c r="D203">
        <v>13</v>
      </c>
      <c r="E203" s="1">
        <v>37934</v>
      </c>
      <c r="F203" t="s">
        <v>0</v>
      </c>
      <c r="G203">
        <v>3</v>
      </c>
      <c r="H203">
        <v>2003</v>
      </c>
      <c r="I203" t="s">
        <v>22</v>
      </c>
      <c r="J203" t="s">
        <v>48</v>
      </c>
      <c r="K203" t="s">
        <v>26</v>
      </c>
      <c r="L203" t="s">
        <v>27</v>
      </c>
      <c r="M203" t="s">
        <v>28</v>
      </c>
      <c r="N203" t="s">
        <v>21</v>
      </c>
      <c r="O203" t="s">
        <v>137</v>
      </c>
      <c r="P203" t="s">
        <v>13</v>
      </c>
      <c r="Q203" t="s">
        <v>14</v>
      </c>
      <c r="R203" t="s">
        <v>352</v>
      </c>
      <c r="S203" t="s">
        <v>7</v>
      </c>
      <c r="T203" t="s">
        <v>361</v>
      </c>
      <c r="U203">
        <f>Sales_Order[[#This Row],[Quantity ordered]]*Sales_Order[[#This Row],[Price each]]</f>
        <v>2300</v>
      </c>
    </row>
    <row r="204" spans="1:21" x14ac:dyDescent="0.3">
      <c r="A204">
        <v>10171</v>
      </c>
      <c r="B204">
        <v>35</v>
      </c>
      <c r="C204">
        <v>100</v>
      </c>
      <c r="D204">
        <v>2</v>
      </c>
      <c r="E204" s="1">
        <v>37752</v>
      </c>
      <c r="F204" t="s">
        <v>0</v>
      </c>
      <c r="G204">
        <v>4</v>
      </c>
      <c r="H204">
        <v>2003</v>
      </c>
      <c r="I204" t="s">
        <v>22</v>
      </c>
      <c r="J204" t="s">
        <v>48</v>
      </c>
      <c r="K204" t="s">
        <v>237</v>
      </c>
      <c r="L204" t="s">
        <v>238</v>
      </c>
      <c r="M204" t="s">
        <v>239</v>
      </c>
      <c r="N204" t="s">
        <v>240</v>
      </c>
      <c r="O204" t="s">
        <v>241</v>
      </c>
      <c r="P204" t="s">
        <v>210</v>
      </c>
      <c r="Q204" t="s">
        <v>6</v>
      </c>
      <c r="R204" t="s">
        <v>353</v>
      </c>
      <c r="S204" t="s">
        <v>8</v>
      </c>
      <c r="T204" t="s">
        <v>334</v>
      </c>
      <c r="U204">
        <f>Sales_Order[[#This Row],[Quantity ordered]]*Sales_Order[[#This Row],[Price each]]</f>
        <v>3500</v>
      </c>
    </row>
    <row r="205" spans="1:21" x14ac:dyDescent="0.3">
      <c r="A205">
        <v>10192</v>
      </c>
      <c r="B205">
        <v>22</v>
      </c>
      <c r="C205">
        <v>100</v>
      </c>
      <c r="D205">
        <v>11</v>
      </c>
      <c r="E205" s="1">
        <v>37945</v>
      </c>
      <c r="F205" t="s">
        <v>0</v>
      </c>
      <c r="G205">
        <v>4</v>
      </c>
      <c r="H205">
        <v>2003</v>
      </c>
      <c r="I205" t="s">
        <v>22</v>
      </c>
      <c r="J205" t="s">
        <v>48</v>
      </c>
      <c r="K205" t="s">
        <v>228</v>
      </c>
      <c r="L205" t="s">
        <v>229</v>
      </c>
      <c r="M205" t="s">
        <v>230</v>
      </c>
      <c r="N205" t="s">
        <v>231</v>
      </c>
      <c r="O205" t="s">
        <v>232</v>
      </c>
      <c r="P205" t="s">
        <v>5</v>
      </c>
      <c r="Q205" t="s">
        <v>6</v>
      </c>
      <c r="R205" t="s">
        <v>350</v>
      </c>
      <c r="S205" t="s">
        <v>8</v>
      </c>
      <c r="T205" t="s">
        <v>334</v>
      </c>
      <c r="U205">
        <f>Sales_Order[[#This Row],[Quantity ordered]]*Sales_Order[[#This Row],[Price each]]</f>
        <v>2200</v>
      </c>
    </row>
    <row r="206" spans="1:21" x14ac:dyDescent="0.3">
      <c r="A206">
        <v>10204</v>
      </c>
      <c r="B206">
        <v>42</v>
      </c>
      <c r="C206">
        <v>100</v>
      </c>
      <c r="D206">
        <v>17</v>
      </c>
      <c r="E206" s="1">
        <v>37664</v>
      </c>
      <c r="F206" t="s">
        <v>0</v>
      </c>
      <c r="G206">
        <v>4</v>
      </c>
      <c r="H206">
        <v>2003</v>
      </c>
      <c r="I206" t="s">
        <v>22</v>
      </c>
      <c r="J206" t="s">
        <v>48</v>
      </c>
      <c r="K206" t="s">
        <v>36</v>
      </c>
      <c r="L206" t="s">
        <v>37</v>
      </c>
      <c r="M206" t="s">
        <v>3</v>
      </c>
      <c r="N206" t="s">
        <v>4</v>
      </c>
      <c r="O206" t="s">
        <v>135</v>
      </c>
      <c r="P206" t="s">
        <v>5</v>
      </c>
      <c r="Q206" t="s">
        <v>6</v>
      </c>
      <c r="R206" t="s">
        <v>366</v>
      </c>
      <c r="S206" t="s">
        <v>8</v>
      </c>
      <c r="T206" t="s">
        <v>336</v>
      </c>
      <c r="U206">
        <f>Sales_Order[[#This Row],[Quantity ordered]]*Sales_Order[[#This Row],[Price each]]</f>
        <v>4200</v>
      </c>
    </row>
    <row r="207" spans="1:21" x14ac:dyDescent="0.3">
      <c r="A207">
        <v>10240</v>
      </c>
      <c r="B207">
        <v>41</v>
      </c>
      <c r="C207">
        <v>100</v>
      </c>
      <c r="D207">
        <v>3</v>
      </c>
      <c r="E207" s="1">
        <v>38090</v>
      </c>
      <c r="F207" t="s">
        <v>0</v>
      </c>
      <c r="G207">
        <v>2</v>
      </c>
      <c r="H207">
        <v>2004</v>
      </c>
      <c r="I207" t="s">
        <v>22</v>
      </c>
      <c r="J207" t="s">
        <v>48</v>
      </c>
      <c r="K207" t="s">
        <v>242</v>
      </c>
      <c r="L207" t="s">
        <v>243</v>
      </c>
      <c r="M207" t="s">
        <v>244</v>
      </c>
      <c r="N207" t="s">
        <v>244</v>
      </c>
      <c r="O207" t="s">
        <v>245</v>
      </c>
      <c r="P207" t="s">
        <v>195</v>
      </c>
      <c r="Q207" t="s">
        <v>195</v>
      </c>
      <c r="R207" t="s">
        <v>354</v>
      </c>
      <c r="S207" t="s">
        <v>8</v>
      </c>
      <c r="T207" t="s">
        <v>327</v>
      </c>
      <c r="U207">
        <f>Sales_Order[[#This Row],[Quantity ordered]]*Sales_Order[[#This Row],[Price each]]</f>
        <v>4100</v>
      </c>
    </row>
    <row r="208" spans="1:21" x14ac:dyDescent="0.3">
      <c r="A208">
        <v>10278</v>
      </c>
      <c r="B208">
        <v>34</v>
      </c>
      <c r="C208">
        <v>100</v>
      </c>
      <c r="D208">
        <v>6</v>
      </c>
      <c r="E208" s="1">
        <v>38146</v>
      </c>
      <c r="F208" t="s">
        <v>0</v>
      </c>
      <c r="G208">
        <v>3</v>
      </c>
      <c r="H208">
        <v>2004</v>
      </c>
      <c r="I208" t="s">
        <v>22</v>
      </c>
      <c r="J208" t="s">
        <v>48</v>
      </c>
      <c r="K208" t="s">
        <v>290</v>
      </c>
      <c r="L208" t="s">
        <v>291</v>
      </c>
      <c r="M208" t="s">
        <v>292</v>
      </c>
      <c r="N208" t="s">
        <v>293</v>
      </c>
      <c r="O208" t="s">
        <v>294</v>
      </c>
      <c r="P208" t="s">
        <v>5</v>
      </c>
      <c r="Q208" t="s">
        <v>6</v>
      </c>
      <c r="R208" t="s">
        <v>370</v>
      </c>
      <c r="S208" t="s">
        <v>8</v>
      </c>
      <c r="T208" t="s">
        <v>322</v>
      </c>
      <c r="U208">
        <f>Sales_Order[[#This Row],[Quantity ordered]]*Sales_Order[[#This Row],[Price each]]</f>
        <v>3400</v>
      </c>
    </row>
    <row r="209" spans="1:21" x14ac:dyDescent="0.3">
      <c r="A209">
        <v>10321</v>
      </c>
      <c r="B209">
        <v>41</v>
      </c>
      <c r="C209">
        <v>100</v>
      </c>
      <c r="D209">
        <v>10</v>
      </c>
      <c r="E209" s="1">
        <v>38088</v>
      </c>
      <c r="F209" t="s">
        <v>0</v>
      </c>
      <c r="G209">
        <v>4</v>
      </c>
      <c r="H209">
        <v>2004</v>
      </c>
      <c r="I209" t="s">
        <v>22</v>
      </c>
      <c r="J209" t="s">
        <v>48</v>
      </c>
      <c r="K209" t="s">
        <v>189</v>
      </c>
      <c r="L209" t="s">
        <v>190</v>
      </c>
      <c r="M209" t="s">
        <v>191</v>
      </c>
      <c r="N209" t="s">
        <v>181</v>
      </c>
      <c r="O209" t="s">
        <v>192</v>
      </c>
      <c r="P209" t="s">
        <v>5</v>
      </c>
      <c r="Q209" t="s">
        <v>6</v>
      </c>
      <c r="R209" t="s">
        <v>337</v>
      </c>
      <c r="S209" t="s">
        <v>8</v>
      </c>
      <c r="T209" t="s">
        <v>334</v>
      </c>
      <c r="U209">
        <f>Sales_Order[[#This Row],[Quantity ordered]]*Sales_Order[[#This Row],[Price each]]</f>
        <v>4100</v>
      </c>
    </row>
    <row r="210" spans="1:21" x14ac:dyDescent="0.3">
      <c r="A210">
        <v>10331</v>
      </c>
      <c r="B210">
        <v>46</v>
      </c>
      <c r="C210">
        <v>100</v>
      </c>
      <c r="D210">
        <v>6</v>
      </c>
      <c r="E210" s="1">
        <v>38308</v>
      </c>
      <c r="F210" t="s">
        <v>0</v>
      </c>
      <c r="G210">
        <v>4</v>
      </c>
      <c r="H210">
        <v>2004</v>
      </c>
      <c r="I210" t="s">
        <v>22</v>
      </c>
      <c r="J210" t="s">
        <v>48</v>
      </c>
      <c r="K210" t="s">
        <v>246</v>
      </c>
      <c r="L210" t="s">
        <v>247</v>
      </c>
      <c r="M210" t="s">
        <v>203</v>
      </c>
      <c r="N210" t="s">
        <v>186</v>
      </c>
      <c r="O210" t="s">
        <v>204</v>
      </c>
      <c r="P210" t="s">
        <v>5</v>
      </c>
      <c r="Q210" t="s">
        <v>6</v>
      </c>
      <c r="R210" t="s">
        <v>355</v>
      </c>
      <c r="S210" t="s">
        <v>8</v>
      </c>
      <c r="T210" t="s">
        <v>334</v>
      </c>
      <c r="U210">
        <f>Sales_Order[[#This Row],[Quantity ordered]]*Sales_Order[[#This Row],[Price each]]</f>
        <v>4600</v>
      </c>
    </row>
    <row r="211" spans="1:21" x14ac:dyDescent="0.3">
      <c r="A211">
        <v>10342</v>
      </c>
      <c r="B211">
        <v>40</v>
      </c>
      <c r="C211">
        <v>100</v>
      </c>
      <c r="D211">
        <v>2</v>
      </c>
      <c r="E211" s="1">
        <v>38315</v>
      </c>
      <c r="F211" t="s">
        <v>0</v>
      </c>
      <c r="G211">
        <v>4</v>
      </c>
      <c r="H211">
        <v>2004</v>
      </c>
      <c r="I211" t="s">
        <v>22</v>
      </c>
      <c r="J211" t="s">
        <v>48</v>
      </c>
      <c r="K211" t="s">
        <v>9</v>
      </c>
      <c r="L211" t="s">
        <v>10</v>
      </c>
      <c r="M211" t="s">
        <v>11</v>
      </c>
      <c r="N211" t="s">
        <v>12</v>
      </c>
      <c r="O211" t="s">
        <v>134</v>
      </c>
      <c r="P211" t="s">
        <v>13</v>
      </c>
      <c r="Q211" t="s">
        <v>14</v>
      </c>
      <c r="R211" t="s">
        <v>325</v>
      </c>
      <c r="S211" t="s">
        <v>8</v>
      </c>
      <c r="T211" t="s">
        <v>334</v>
      </c>
      <c r="U211">
        <f>Sales_Order[[#This Row],[Quantity ordered]]*Sales_Order[[#This Row],[Price each]]</f>
        <v>4000</v>
      </c>
    </row>
    <row r="212" spans="1:21" x14ac:dyDescent="0.3">
      <c r="A212">
        <v>10365</v>
      </c>
      <c r="B212">
        <v>30</v>
      </c>
      <c r="C212">
        <v>87.06</v>
      </c>
      <c r="D212">
        <v>1</v>
      </c>
      <c r="E212" s="1">
        <v>38534</v>
      </c>
      <c r="F212" t="s">
        <v>0</v>
      </c>
      <c r="G212">
        <v>1</v>
      </c>
      <c r="H212">
        <v>2005</v>
      </c>
      <c r="I212" t="s">
        <v>22</v>
      </c>
      <c r="J212" t="s">
        <v>48</v>
      </c>
      <c r="K212" t="s">
        <v>252</v>
      </c>
      <c r="L212" t="s">
        <v>253</v>
      </c>
      <c r="M212" t="s">
        <v>191</v>
      </c>
      <c r="N212" t="s">
        <v>181</v>
      </c>
      <c r="O212" t="s">
        <v>192</v>
      </c>
      <c r="P212" t="s">
        <v>5</v>
      </c>
      <c r="Q212" t="s">
        <v>6</v>
      </c>
      <c r="R212" t="s">
        <v>357</v>
      </c>
      <c r="S212" t="s">
        <v>7</v>
      </c>
      <c r="T212" t="s">
        <v>345</v>
      </c>
      <c r="U212">
        <f>Sales_Order[[#This Row],[Quantity ordered]]*Sales_Order[[#This Row],[Price each]]</f>
        <v>2611.8000000000002</v>
      </c>
    </row>
    <row r="213" spans="1:21" x14ac:dyDescent="0.3">
      <c r="A213">
        <v>10390</v>
      </c>
      <c r="B213">
        <v>36</v>
      </c>
      <c r="C213">
        <v>93.77</v>
      </c>
      <c r="D213">
        <v>14</v>
      </c>
      <c r="E213" s="1">
        <v>38445</v>
      </c>
      <c r="F213" t="s">
        <v>0</v>
      </c>
      <c r="G213">
        <v>1</v>
      </c>
      <c r="H213">
        <v>2005</v>
      </c>
      <c r="I213" t="s">
        <v>22</v>
      </c>
      <c r="J213" t="s">
        <v>48</v>
      </c>
      <c r="K213" t="s">
        <v>225</v>
      </c>
      <c r="L213" t="s">
        <v>226</v>
      </c>
      <c r="M213" t="s">
        <v>227</v>
      </c>
      <c r="N213" t="s">
        <v>161</v>
      </c>
      <c r="O213" t="s">
        <v>177</v>
      </c>
      <c r="P213" t="s">
        <v>5</v>
      </c>
      <c r="Q213" t="s">
        <v>6</v>
      </c>
      <c r="R213" t="s">
        <v>349</v>
      </c>
      <c r="S213" t="s">
        <v>8</v>
      </c>
      <c r="T213" t="s">
        <v>338</v>
      </c>
      <c r="U213">
        <f>Sales_Order[[#This Row],[Quantity ordered]]*Sales_Order[[#This Row],[Price each]]</f>
        <v>3375.72</v>
      </c>
    </row>
    <row r="214" spans="1:21" x14ac:dyDescent="0.3">
      <c r="A214">
        <v>10102</v>
      </c>
      <c r="B214">
        <v>39</v>
      </c>
      <c r="C214">
        <v>100</v>
      </c>
      <c r="D214">
        <v>2</v>
      </c>
      <c r="E214" s="1">
        <v>37895</v>
      </c>
      <c r="F214" t="s">
        <v>0</v>
      </c>
      <c r="G214">
        <v>1</v>
      </c>
      <c r="H214">
        <v>2003</v>
      </c>
      <c r="I214" t="s">
        <v>49</v>
      </c>
      <c r="J214" t="s">
        <v>50</v>
      </c>
      <c r="K214" t="s">
        <v>15</v>
      </c>
      <c r="L214" t="s">
        <v>16</v>
      </c>
      <c r="M214" t="s">
        <v>3</v>
      </c>
      <c r="N214" t="s">
        <v>4</v>
      </c>
      <c r="O214" t="s">
        <v>135</v>
      </c>
      <c r="P214" t="s">
        <v>5</v>
      </c>
      <c r="Q214" t="s">
        <v>6</v>
      </c>
      <c r="R214" t="s">
        <v>326</v>
      </c>
      <c r="S214" t="s">
        <v>8</v>
      </c>
      <c r="T214" t="s">
        <v>345</v>
      </c>
      <c r="U214">
        <f>Sales_Order[[#This Row],[Quantity ordered]]*Sales_Order[[#This Row],[Price each]]</f>
        <v>3900</v>
      </c>
    </row>
    <row r="215" spans="1:21" x14ac:dyDescent="0.3">
      <c r="A215">
        <v>10125</v>
      </c>
      <c r="B215">
        <v>32</v>
      </c>
      <c r="C215">
        <v>100</v>
      </c>
      <c r="D215">
        <v>1</v>
      </c>
      <c r="E215" s="1">
        <v>37762</v>
      </c>
      <c r="F215" t="s">
        <v>0</v>
      </c>
      <c r="G215">
        <v>2</v>
      </c>
      <c r="H215">
        <v>2003</v>
      </c>
      <c r="I215" t="s">
        <v>49</v>
      </c>
      <c r="J215" t="s">
        <v>50</v>
      </c>
      <c r="K215" t="s">
        <v>9</v>
      </c>
      <c r="L215" t="s">
        <v>10</v>
      </c>
      <c r="M215" t="s">
        <v>11</v>
      </c>
      <c r="N215" t="s">
        <v>12</v>
      </c>
      <c r="O215" t="s">
        <v>134</v>
      </c>
      <c r="P215" t="s">
        <v>13</v>
      </c>
      <c r="Q215" t="s">
        <v>14</v>
      </c>
      <c r="R215" t="s">
        <v>325</v>
      </c>
      <c r="S215" t="s">
        <v>8</v>
      </c>
      <c r="T215" t="s">
        <v>329</v>
      </c>
      <c r="U215">
        <f>Sales_Order[[#This Row],[Quantity ordered]]*Sales_Order[[#This Row],[Price each]]</f>
        <v>3200</v>
      </c>
    </row>
    <row r="216" spans="1:21" x14ac:dyDescent="0.3">
      <c r="A216">
        <v>10139</v>
      </c>
      <c r="B216">
        <v>31</v>
      </c>
      <c r="C216">
        <v>100</v>
      </c>
      <c r="D216">
        <v>7</v>
      </c>
      <c r="E216" s="1">
        <v>37818</v>
      </c>
      <c r="F216" t="s">
        <v>0</v>
      </c>
      <c r="G216">
        <v>3</v>
      </c>
      <c r="H216">
        <v>2003</v>
      </c>
      <c r="I216" t="s">
        <v>49</v>
      </c>
      <c r="J216" t="s">
        <v>50</v>
      </c>
      <c r="K216" t="s">
        <v>18</v>
      </c>
      <c r="L216" t="s">
        <v>19</v>
      </c>
      <c r="M216" t="s">
        <v>20</v>
      </c>
      <c r="N216" t="s">
        <v>21</v>
      </c>
      <c r="O216" t="s">
        <v>136</v>
      </c>
      <c r="P216" t="s">
        <v>13</v>
      </c>
      <c r="Q216" t="s">
        <v>14</v>
      </c>
      <c r="R216" t="s">
        <v>335</v>
      </c>
      <c r="S216" t="s">
        <v>8</v>
      </c>
      <c r="T216" t="s">
        <v>339</v>
      </c>
      <c r="U216">
        <f>Sales_Order[[#This Row],[Quantity ordered]]*Sales_Order[[#This Row],[Price each]]</f>
        <v>3100</v>
      </c>
    </row>
    <row r="217" spans="1:21" x14ac:dyDescent="0.3">
      <c r="A217">
        <v>10149</v>
      </c>
      <c r="B217">
        <v>50</v>
      </c>
      <c r="C217">
        <v>100</v>
      </c>
      <c r="D217">
        <v>4</v>
      </c>
      <c r="E217" s="1">
        <v>37964</v>
      </c>
      <c r="F217" t="s">
        <v>0</v>
      </c>
      <c r="G217">
        <v>3</v>
      </c>
      <c r="H217">
        <v>2003</v>
      </c>
      <c r="I217" t="s">
        <v>49</v>
      </c>
      <c r="J217" t="s">
        <v>50</v>
      </c>
      <c r="K217" t="s">
        <v>286</v>
      </c>
      <c r="L217" t="s">
        <v>287</v>
      </c>
      <c r="M217" t="s">
        <v>288</v>
      </c>
      <c r="N217" t="s">
        <v>161</v>
      </c>
      <c r="O217" t="s">
        <v>166</v>
      </c>
      <c r="P217" t="s">
        <v>5</v>
      </c>
      <c r="Q217" t="s">
        <v>6</v>
      </c>
      <c r="R217" t="s">
        <v>369</v>
      </c>
      <c r="S217" t="s">
        <v>8</v>
      </c>
      <c r="T217" t="s">
        <v>361</v>
      </c>
      <c r="U217">
        <f>Sales_Order[[#This Row],[Quantity ordered]]*Sales_Order[[#This Row],[Price each]]</f>
        <v>5000</v>
      </c>
    </row>
    <row r="218" spans="1:21" x14ac:dyDescent="0.3">
      <c r="A218">
        <v>10182</v>
      </c>
      <c r="B218">
        <v>25</v>
      </c>
      <c r="C218">
        <v>87.33</v>
      </c>
      <c r="D218">
        <v>3</v>
      </c>
      <c r="E218" s="1">
        <v>37966</v>
      </c>
      <c r="F218" t="s">
        <v>0</v>
      </c>
      <c r="G218">
        <v>4</v>
      </c>
      <c r="H218">
        <v>2003</v>
      </c>
      <c r="I218" t="s">
        <v>49</v>
      </c>
      <c r="J218" t="s">
        <v>50</v>
      </c>
      <c r="K218" t="s">
        <v>225</v>
      </c>
      <c r="L218" t="s">
        <v>226</v>
      </c>
      <c r="M218" t="s">
        <v>227</v>
      </c>
      <c r="N218" t="s">
        <v>161</v>
      </c>
      <c r="O218" t="s">
        <v>177</v>
      </c>
      <c r="P218" t="s">
        <v>5</v>
      </c>
      <c r="Q218" t="s">
        <v>6</v>
      </c>
      <c r="R218" t="s">
        <v>349</v>
      </c>
      <c r="S218" t="s">
        <v>7</v>
      </c>
      <c r="T218" t="s">
        <v>334</v>
      </c>
      <c r="U218">
        <f>Sales_Order[[#This Row],[Quantity ordered]]*Sales_Order[[#This Row],[Price each]]</f>
        <v>2183.25</v>
      </c>
    </row>
    <row r="219" spans="1:21" x14ac:dyDescent="0.3">
      <c r="A219">
        <v>10193</v>
      </c>
      <c r="B219">
        <v>28</v>
      </c>
      <c r="C219">
        <v>100</v>
      </c>
      <c r="D219">
        <v>7</v>
      </c>
      <c r="E219" s="1">
        <v>37946</v>
      </c>
      <c r="F219" t="s">
        <v>0</v>
      </c>
      <c r="G219">
        <v>4</v>
      </c>
      <c r="H219">
        <v>2003</v>
      </c>
      <c r="I219" t="s">
        <v>49</v>
      </c>
      <c r="J219" t="s">
        <v>50</v>
      </c>
      <c r="K219" t="s">
        <v>296</v>
      </c>
      <c r="L219" t="s">
        <v>297</v>
      </c>
      <c r="M219" t="s">
        <v>298</v>
      </c>
      <c r="N219" t="s">
        <v>12</v>
      </c>
      <c r="O219" t="s">
        <v>299</v>
      </c>
      <c r="P219" t="s">
        <v>13</v>
      </c>
      <c r="Q219" t="s">
        <v>14</v>
      </c>
      <c r="R219" t="s">
        <v>371</v>
      </c>
      <c r="S219" t="s">
        <v>8</v>
      </c>
      <c r="T219" t="s">
        <v>334</v>
      </c>
      <c r="U219">
        <f>Sales_Order[[#This Row],[Quantity ordered]]*Sales_Order[[#This Row],[Price each]]</f>
        <v>2800</v>
      </c>
    </row>
    <row r="220" spans="1:21" x14ac:dyDescent="0.3">
      <c r="A220">
        <v>10215</v>
      </c>
      <c r="B220">
        <v>27</v>
      </c>
      <c r="C220">
        <v>89.38</v>
      </c>
      <c r="D220">
        <v>10</v>
      </c>
      <c r="E220" s="1">
        <v>38015</v>
      </c>
      <c r="F220" t="s">
        <v>0</v>
      </c>
      <c r="G220">
        <v>1</v>
      </c>
      <c r="H220">
        <v>2004</v>
      </c>
      <c r="I220" t="s">
        <v>49</v>
      </c>
      <c r="J220" t="s">
        <v>50</v>
      </c>
      <c r="K220" t="s">
        <v>211</v>
      </c>
      <c r="L220" t="s">
        <v>212</v>
      </c>
      <c r="M220" t="s">
        <v>213</v>
      </c>
      <c r="N220" t="s">
        <v>161</v>
      </c>
      <c r="O220" t="s">
        <v>172</v>
      </c>
      <c r="P220" t="s">
        <v>5</v>
      </c>
      <c r="Q220" t="s">
        <v>6</v>
      </c>
      <c r="R220" t="s">
        <v>344</v>
      </c>
      <c r="S220" t="s">
        <v>7</v>
      </c>
      <c r="T220" t="s">
        <v>345</v>
      </c>
      <c r="U220">
        <f>Sales_Order[[#This Row],[Quantity ordered]]*Sales_Order[[#This Row],[Price each]]</f>
        <v>2413.2599999999998</v>
      </c>
    </row>
    <row r="221" spans="1:21" x14ac:dyDescent="0.3">
      <c r="A221">
        <v>10312</v>
      </c>
      <c r="B221">
        <v>43</v>
      </c>
      <c r="C221">
        <v>89.38</v>
      </c>
      <c r="D221">
        <v>10</v>
      </c>
      <c r="E221" s="1">
        <v>38281</v>
      </c>
      <c r="F221" t="s">
        <v>0</v>
      </c>
      <c r="G221">
        <v>4</v>
      </c>
      <c r="H221">
        <v>2004</v>
      </c>
      <c r="I221" t="s">
        <v>49</v>
      </c>
      <c r="J221" t="s">
        <v>50</v>
      </c>
      <c r="K221" t="s">
        <v>225</v>
      </c>
      <c r="L221" t="s">
        <v>226</v>
      </c>
      <c r="M221" t="s">
        <v>227</v>
      </c>
      <c r="N221" t="s">
        <v>161</v>
      </c>
      <c r="O221" t="s">
        <v>177</v>
      </c>
      <c r="P221" t="s">
        <v>5</v>
      </c>
      <c r="Q221" t="s">
        <v>6</v>
      </c>
      <c r="R221" t="s">
        <v>349</v>
      </c>
      <c r="S221" t="s">
        <v>8</v>
      </c>
      <c r="T221" t="s">
        <v>324</v>
      </c>
      <c r="U221">
        <f>Sales_Order[[#This Row],[Quantity ordered]]*Sales_Order[[#This Row],[Price each]]</f>
        <v>3843.3399999999997</v>
      </c>
    </row>
    <row r="222" spans="1:21" x14ac:dyDescent="0.3">
      <c r="A222">
        <v>10322</v>
      </c>
      <c r="B222">
        <v>43</v>
      </c>
      <c r="C222">
        <v>86.3</v>
      </c>
      <c r="D222">
        <v>14</v>
      </c>
      <c r="E222" s="1">
        <v>38088</v>
      </c>
      <c r="F222" t="s">
        <v>0</v>
      </c>
      <c r="G222">
        <v>4</v>
      </c>
      <c r="H222">
        <v>2004</v>
      </c>
      <c r="I222" t="s">
        <v>49</v>
      </c>
      <c r="J222" t="s">
        <v>50</v>
      </c>
      <c r="K222" t="s">
        <v>228</v>
      </c>
      <c r="L222" t="s">
        <v>229</v>
      </c>
      <c r="M222" t="s">
        <v>230</v>
      </c>
      <c r="N222" t="s">
        <v>231</v>
      </c>
      <c r="O222" t="s">
        <v>232</v>
      </c>
      <c r="P222" t="s">
        <v>5</v>
      </c>
      <c r="Q222" t="s">
        <v>6</v>
      </c>
      <c r="R222" t="s">
        <v>350</v>
      </c>
      <c r="S222" t="s">
        <v>8</v>
      </c>
      <c r="T222" t="s">
        <v>334</v>
      </c>
      <c r="U222">
        <f>Sales_Order[[#This Row],[Quantity ordered]]*Sales_Order[[#This Row],[Price each]]</f>
        <v>3710.9</v>
      </c>
    </row>
    <row r="223" spans="1:21" x14ac:dyDescent="0.3">
      <c r="A223">
        <v>10346</v>
      </c>
      <c r="B223">
        <v>42</v>
      </c>
      <c r="C223">
        <v>36.11</v>
      </c>
      <c r="D223">
        <v>3</v>
      </c>
      <c r="E223" s="1">
        <v>38320</v>
      </c>
      <c r="F223" t="s">
        <v>0</v>
      </c>
      <c r="G223">
        <v>4</v>
      </c>
      <c r="H223">
        <v>2004</v>
      </c>
      <c r="I223" t="s">
        <v>49</v>
      </c>
      <c r="J223" t="s">
        <v>50</v>
      </c>
      <c r="K223" t="s">
        <v>290</v>
      </c>
      <c r="L223" t="s">
        <v>291</v>
      </c>
      <c r="M223" t="s">
        <v>292</v>
      </c>
      <c r="N223" t="s">
        <v>293</v>
      </c>
      <c r="O223" t="s">
        <v>294</v>
      </c>
      <c r="P223" t="s">
        <v>5</v>
      </c>
      <c r="Q223" t="s">
        <v>6</v>
      </c>
      <c r="R223" t="s">
        <v>370</v>
      </c>
      <c r="S223" t="s">
        <v>7</v>
      </c>
      <c r="T223" t="s">
        <v>334</v>
      </c>
      <c r="U223">
        <f>Sales_Order[[#This Row],[Quantity ordered]]*Sales_Order[[#This Row],[Price each]]</f>
        <v>1516.62</v>
      </c>
    </row>
    <row r="224" spans="1:21" x14ac:dyDescent="0.3">
      <c r="A224">
        <v>10369</v>
      </c>
      <c r="B224">
        <v>44</v>
      </c>
      <c r="C224">
        <v>100</v>
      </c>
      <c r="D224">
        <v>8</v>
      </c>
      <c r="E224" s="1">
        <v>38372</v>
      </c>
      <c r="F224" t="s">
        <v>0</v>
      </c>
      <c r="G224">
        <v>1</v>
      </c>
      <c r="H224">
        <v>2005</v>
      </c>
      <c r="I224" t="s">
        <v>49</v>
      </c>
      <c r="J224" t="s">
        <v>50</v>
      </c>
      <c r="K224" t="s">
        <v>233</v>
      </c>
      <c r="L224" t="s">
        <v>234</v>
      </c>
      <c r="M224" t="s">
        <v>235</v>
      </c>
      <c r="N224" t="s">
        <v>181</v>
      </c>
      <c r="O224" t="s">
        <v>236</v>
      </c>
      <c r="P224" t="s">
        <v>5</v>
      </c>
      <c r="Q224" t="s">
        <v>6</v>
      </c>
      <c r="R224" t="s">
        <v>351</v>
      </c>
      <c r="S224" t="s">
        <v>17</v>
      </c>
      <c r="T224" t="s">
        <v>345</v>
      </c>
      <c r="U224">
        <f>Sales_Order[[#This Row],[Quantity ordered]]*Sales_Order[[#This Row],[Price each]]</f>
        <v>4400</v>
      </c>
    </row>
    <row r="225" spans="1:21" x14ac:dyDescent="0.3">
      <c r="A225">
        <v>10391</v>
      </c>
      <c r="B225">
        <v>35</v>
      </c>
      <c r="C225">
        <v>100</v>
      </c>
      <c r="D225">
        <v>2</v>
      </c>
      <c r="E225" s="1">
        <v>38598</v>
      </c>
      <c r="F225" t="s">
        <v>0</v>
      </c>
      <c r="G225">
        <v>1</v>
      </c>
      <c r="H225">
        <v>2005</v>
      </c>
      <c r="I225" t="s">
        <v>49</v>
      </c>
      <c r="J225" t="s">
        <v>50</v>
      </c>
      <c r="K225" t="s">
        <v>26</v>
      </c>
      <c r="L225" t="s">
        <v>27</v>
      </c>
      <c r="M225" t="s">
        <v>28</v>
      </c>
      <c r="N225" t="s">
        <v>21</v>
      </c>
      <c r="O225" t="s">
        <v>137</v>
      </c>
      <c r="P225" t="s">
        <v>13</v>
      </c>
      <c r="Q225" t="s">
        <v>14</v>
      </c>
      <c r="R225" t="s">
        <v>352</v>
      </c>
      <c r="S225" t="s">
        <v>8</v>
      </c>
      <c r="T225" t="s">
        <v>338</v>
      </c>
      <c r="U225">
        <f>Sales_Order[[#This Row],[Quantity ordered]]*Sales_Order[[#This Row],[Price each]]</f>
        <v>3500</v>
      </c>
    </row>
    <row r="226" spans="1:21" x14ac:dyDescent="0.3">
      <c r="A226">
        <v>10422</v>
      </c>
      <c r="B226">
        <v>51</v>
      </c>
      <c r="C226">
        <v>95.55</v>
      </c>
      <c r="D226">
        <v>2</v>
      </c>
      <c r="E226" s="1">
        <v>38502</v>
      </c>
      <c r="F226" t="s">
        <v>29</v>
      </c>
      <c r="G226">
        <v>2</v>
      </c>
      <c r="H226">
        <v>2005</v>
      </c>
      <c r="I226" t="s">
        <v>49</v>
      </c>
      <c r="J226" t="s">
        <v>50</v>
      </c>
      <c r="K226" t="s">
        <v>183</v>
      </c>
      <c r="L226" t="s">
        <v>184</v>
      </c>
      <c r="M226" t="s">
        <v>185</v>
      </c>
      <c r="N226" t="s">
        <v>186</v>
      </c>
      <c r="O226" t="s">
        <v>187</v>
      </c>
      <c r="P226" t="s">
        <v>5</v>
      </c>
      <c r="Q226" t="s">
        <v>6</v>
      </c>
      <c r="R226" t="s">
        <v>333</v>
      </c>
      <c r="S226" t="s">
        <v>8</v>
      </c>
      <c r="T226" t="s">
        <v>329</v>
      </c>
      <c r="U226">
        <f>Sales_Order[[#This Row],[Quantity ordered]]*Sales_Order[[#This Row],[Price each]]</f>
        <v>4873.05</v>
      </c>
    </row>
    <row r="227" spans="1:21" x14ac:dyDescent="0.3">
      <c r="A227">
        <v>10102</v>
      </c>
      <c r="B227">
        <v>41</v>
      </c>
      <c r="C227">
        <v>50.14</v>
      </c>
      <c r="D227">
        <v>1</v>
      </c>
      <c r="E227" s="1">
        <v>37895</v>
      </c>
      <c r="F227" t="s">
        <v>0</v>
      </c>
      <c r="G227">
        <v>1</v>
      </c>
      <c r="H227">
        <v>2003</v>
      </c>
      <c r="I227" t="s">
        <v>49</v>
      </c>
      <c r="J227" t="s">
        <v>51</v>
      </c>
      <c r="K227" t="s">
        <v>15</v>
      </c>
      <c r="L227" t="s">
        <v>16</v>
      </c>
      <c r="M227" t="s">
        <v>3</v>
      </c>
      <c r="N227" t="s">
        <v>4</v>
      </c>
      <c r="O227" t="s">
        <v>135</v>
      </c>
      <c r="P227" t="s">
        <v>5</v>
      </c>
      <c r="Q227" t="s">
        <v>6</v>
      </c>
      <c r="R227" t="s">
        <v>326</v>
      </c>
      <c r="S227" t="s">
        <v>7</v>
      </c>
      <c r="T227" t="s">
        <v>345</v>
      </c>
      <c r="U227">
        <f>Sales_Order[[#This Row],[Quantity ordered]]*Sales_Order[[#This Row],[Price each]]</f>
        <v>2055.7400000000002</v>
      </c>
    </row>
    <row r="228" spans="1:21" x14ac:dyDescent="0.3">
      <c r="A228">
        <v>10139</v>
      </c>
      <c r="B228">
        <v>49</v>
      </c>
      <c r="C228">
        <v>43.13</v>
      </c>
      <c r="D228">
        <v>6</v>
      </c>
      <c r="E228" s="1">
        <v>37818</v>
      </c>
      <c r="F228" t="s">
        <v>0</v>
      </c>
      <c r="G228">
        <v>3</v>
      </c>
      <c r="H228">
        <v>2003</v>
      </c>
      <c r="I228" t="s">
        <v>49</v>
      </c>
      <c r="J228" t="s">
        <v>51</v>
      </c>
      <c r="K228" t="s">
        <v>18</v>
      </c>
      <c r="L228" t="s">
        <v>19</v>
      </c>
      <c r="M228" t="s">
        <v>20</v>
      </c>
      <c r="N228" t="s">
        <v>21</v>
      </c>
      <c r="O228" t="s">
        <v>136</v>
      </c>
      <c r="P228" t="s">
        <v>13</v>
      </c>
      <c r="Q228" t="s">
        <v>14</v>
      </c>
      <c r="R228" t="s">
        <v>335</v>
      </c>
      <c r="S228" t="s">
        <v>7</v>
      </c>
      <c r="T228" t="s">
        <v>339</v>
      </c>
      <c r="U228">
        <f>Sales_Order[[#This Row],[Quantity ordered]]*Sales_Order[[#This Row],[Price each]]</f>
        <v>2113.3700000000003</v>
      </c>
    </row>
    <row r="229" spans="1:21" x14ac:dyDescent="0.3">
      <c r="A229">
        <v>10149</v>
      </c>
      <c r="B229">
        <v>30</v>
      </c>
      <c r="C229">
        <v>58.22</v>
      </c>
      <c r="D229">
        <v>3</v>
      </c>
      <c r="E229" s="1">
        <v>37964</v>
      </c>
      <c r="F229" t="s">
        <v>0</v>
      </c>
      <c r="G229">
        <v>3</v>
      </c>
      <c r="H229">
        <v>2003</v>
      </c>
      <c r="I229" t="s">
        <v>49</v>
      </c>
      <c r="J229" t="s">
        <v>51</v>
      </c>
      <c r="K229" t="s">
        <v>286</v>
      </c>
      <c r="L229" t="s">
        <v>287</v>
      </c>
      <c r="M229" t="s">
        <v>288</v>
      </c>
      <c r="N229" t="s">
        <v>161</v>
      </c>
      <c r="O229" t="s">
        <v>166</v>
      </c>
      <c r="P229" t="s">
        <v>5</v>
      </c>
      <c r="Q229" t="s">
        <v>6</v>
      </c>
      <c r="R229" t="s">
        <v>369</v>
      </c>
      <c r="S229" t="s">
        <v>7</v>
      </c>
      <c r="T229" t="s">
        <v>361</v>
      </c>
      <c r="U229">
        <f>Sales_Order[[#This Row],[Quantity ordered]]*Sales_Order[[#This Row],[Price each]]</f>
        <v>1746.6</v>
      </c>
    </row>
    <row r="230" spans="1:21" x14ac:dyDescent="0.3">
      <c r="A230">
        <v>10182</v>
      </c>
      <c r="B230">
        <v>32</v>
      </c>
      <c r="C230">
        <v>54.45</v>
      </c>
      <c r="D230">
        <v>2</v>
      </c>
      <c r="E230" s="1">
        <v>37966</v>
      </c>
      <c r="F230" t="s">
        <v>0</v>
      </c>
      <c r="G230">
        <v>4</v>
      </c>
      <c r="H230">
        <v>2003</v>
      </c>
      <c r="I230" t="s">
        <v>49</v>
      </c>
      <c r="J230" t="s">
        <v>51</v>
      </c>
      <c r="K230" t="s">
        <v>225</v>
      </c>
      <c r="L230" t="s">
        <v>226</v>
      </c>
      <c r="M230" t="s">
        <v>227</v>
      </c>
      <c r="N230" t="s">
        <v>161</v>
      </c>
      <c r="O230" t="s">
        <v>177</v>
      </c>
      <c r="P230" t="s">
        <v>5</v>
      </c>
      <c r="Q230" t="s">
        <v>6</v>
      </c>
      <c r="R230" t="s">
        <v>349</v>
      </c>
      <c r="S230" t="s">
        <v>7</v>
      </c>
      <c r="T230" t="s">
        <v>334</v>
      </c>
      <c r="U230">
        <f>Sales_Order[[#This Row],[Quantity ordered]]*Sales_Order[[#This Row],[Price each]]</f>
        <v>1742.4</v>
      </c>
    </row>
    <row r="231" spans="1:21" x14ac:dyDescent="0.3">
      <c r="A231">
        <v>10193</v>
      </c>
      <c r="B231">
        <v>46</v>
      </c>
      <c r="C231">
        <v>53.37</v>
      </c>
      <c r="D231">
        <v>6</v>
      </c>
      <c r="E231" s="1">
        <v>37946</v>
      </c>
      <c r="F231" t="s">
        <v>0</v>
      </c>
      <c r="G231">
        <v>4</v>
      </c>
      <c r="H231">
        <v>2003</v>
      </c>
      <c r="I231" t="s">
        <v>49</v>
      </c>
      <c r="J231" t="s">
        <v>51</v>
      </c>
      <c r="K231" t="s">
        <v>296</v>
      </c>
      <c r="L231" t="s">
        <v>297</v>
      </c>
      <c r="M231" t="s">
        <v>298</v>
      </c>
      <c r="N231" t="s">
        <v>12</v>
      </c>
      <c r="O231" t="s">
        <v>299</v>
      </c>
      <c r="P231" t="s">
        <v>13</v>
      </c>
      <c r="Q231" t="s">
        <v>14</v>
      </c>
      <c r="R231" t="s">
        <v>371</v>
      </c>
      <c r="S231" t="s">
        <v>7</v>
      </c>
      <c r="T231" t="s">
        <v>334</v>
      </c>
      <c r="U231">
        <f>Sales_Order[[#This Row],[Quantity ordered]]*Sales_Order[[#This Row],[Price each]]</f>
        <v>2455.02</v>
      </c>
    </row>
    <row r="232" spans="1:21" x14ac:dyDescent="0.3">
      <c r="A232">
        <v>10215</v>
      </c>
      <c r="B232">
        <v>33</v>
      </c>
      <c r="C232">
        <v>43.13</v>
      </c>
      <c r="D232">
        <v>9</v>
      </c>
      <c r="E232" s="1">
        <v>38015</v>
      </c>
      <c r="F232" t="s">
        <v>0</v>
      </c>
      <c r="G232">
        <v>1</v>
      </c>
      <c r="H232">
        <v>2004</v>
      </c>
      <c r="I232" t="s">
        <v>49</v>
      </c>
      <c r="J232" t="s">
        <v>51</v>
      </c>
      <c r="K232" t="s">
        <v>211</v>
      </c>
      <c r="L232" t="s">
        <v>212</v>
      </c>
      <c r="M232" t="s">
        <v>213</v>
      </c>
      <c r="N232" t="s">
        <v>161</v>
      </c>
      <c r="O232" t="s">
        <v>172</v>
      </c>
      <c r="P232" t="s">
        <v>5</v>
      </c>
      <c r="Q232" t="s">
        <v>6</v>
      </c>
      <c r="R232" t="s">
        <v>344</v>
      </c>
      <c r="S232" t="s">
        <v>7</v>
      </c>
      <c r="T232" t="s">
        <v>345</v>
      </c>
      <c r="U232">
        <f>Sales_Order[[#This Row],[Quantity ordered]]*Sales_Order[[#This Row],[Price each]]</f>
        <v>1423.2900000000002</v>
      </c>
    </row>
    <row r="233" spans="1:21" x14ac:dyDescent="0.3">
      <c r="A233">
        <v>10312</v>
      </c>
      <c r="B233">
        <v>25</v>
      </c>
      <c r="C233">
        <v>44.21</v>
      </c>
      <c r="D233">
        <v>9</v>
      </c>
      <c r="E233" s="1">
        <v>38281</v>
      </c>
      <c r="F233" t="s">
        <v>0</v>
      </c>
      <c r="G233">
        <v>4</v>
      </c>
      <c r="H233">
        <v>2004</v>
      </c>
      <c r="I233" t="s">
        <v>49</v>
      </c>
      <c r="J233" t="s">
        <v>51</v>
      </c>
      <c r="K233" t="s">
        <v>225</v>
      </c>
      <c r="L233" t="s">
        <v>226</v>
      </c>
      <c r="M233" t="s">
        <v>227</v>
      </c>
      <c r="N233" t="s">
        <v>161</v>
      </c>
      <c r="O233" t="s">
        <v>177</v>
      </c>
      <c r="P233" t="s">
        <v>5</v>
      </c>
      <c r="Q233" t="s">
        <v>6</v>
      </c>
      <c r="R233" t="s">
        <v>349</v>
      </c>
      <c r="S233" t="s">
        <v>7</v>
      </c>
      <c r="T233" t="s">
        <v>324</v>
      </c>
      <c r="U233">
        <f>Sales_Order[[#This Row],[Quantity ordered]]*Sales_Order[[#This Row],[Price each]]</f>
        <v>1105.25</v>
      </c>
    </row>
    <row r="234" spans="1:21" x14ac:dyDescent="0.3">
      <c r="A234">
        <v>10322</v>
      </c>
      <c r="B234">
        <v>41</v>
      </c>
      <c r="C234">
        <v>57.68</v>
      </c>
      <c r="D234">
        <v>5</v>
      </c>
      <c r="E234" s="1">
        <v>38088</v>
      </c>
      <c r="F234" t="s">
        <v>0</v>
      </c>
      <c r="G234">
        <v>4</v>
      </c>
      <c r="H234">
        <v>2004</v>
      </c>
      <c r="I234" t="s">
        <v>49</v>
      </c>
      <c r="J234" t="s">
        <v>51</v>
      </c>
      <c r="K234" t="s">
        <v>228</v>
      </c>
      <c r="L234" t="s">
        <v>229</v>
      </c>
      <c r="M234" t="s">
        <v>230</v>
      </c>
      <c r="N234" t="s">
        <v>231</v>
      </c>
      <c r="O234" t="s">
        <v>232</v>
      </c>
      <c r="P234" t="s">
        <v>5</v>
      </c>
      <c r="Q234" t="s">
        <v>6</v>
      </c>
      <c r="R234" t="s">
        <v>350</v>
      </c>
      <c r="S234" t="s">
        <v>7</v>
      </c>
      <c r="T234" t="s">
        <v>334</v>
      </c>
      <c r="U234">
        <f>Sales_Order[[#This Row],[Quantity ordered]]*Sales_Order[[#This Row],[Price each]]</f>
        <v>2364.88</v>
      </c>
    </row>
    <row r="235" spans="1:21" x14ac:dyDescent="0.3">
      <c r="A235">
        <v>10347</v>
      </c>
      <c r="B235">
        <v>21</v>
      </c>
      <c r="C235">
        <v>58.95</v>
      </c>
      <c r="D235">
        <v>7</v>
      </c>
      <c r="E235" s="1">
        <v>38320</v>
      </c>
      <c r="F235" t="s">
        <v>0</v>
      </c>
      <c r="G235">
        <v>4</v>
      </c>
      <c r="H235">
        <v>2004</v>
      </c>
      <c r="I235" t="s">
        <v>49</v>
      </c>
      <c r="J235" t="s">
        <v>51</v>
      </c>
      <c r="K235" t="s">
        <v>9</v>
      </c>
      <c r="L235" t="s">
        <v>10</v>
      </c>
      <c r="M235" t="s">
        <v>11</v>
      </c>
      <c r="N235" t="s">
        <v>12</v>
      </c>
      <c r="O235" t="s">
        <v>134</v>
      </c>
      <c r="P235" t="s">
        <v>13</v>
      </c>
      <c r="Q235" t="s">
        <v>14</v>
      </c>
      <c r="R235" t="s">
        <v>325</v>
      </c>
      <c r="S235" t="s">
        <v>7</v>
      </c>
      <c r="T235" t="s">
        <v>334</v>
      </c>
      <c r="U235">
        <f>Sales_Order[[#This Row],[Quantity ordered]]*Sales_Order[[#This Row],[Price each]]</f>
        <v>1237.95</v>
      </c>
    </row>
    <row r="236" spans="1:21" x14ac:dyDescent="0.3">
      <c r="A236">
        <v>10369</v>
      </c>
      <c r="B236">
        <v>32</v>
      </c>
      <c r="C236">
        <v>98.63</v>
      </c>
      <c r="D236">
        <v>7</v>
      </c>
      <c r="E236" s="1">
        <v>38372</v>
      </c>
      <c r="F236" t="s">
        <v>0</v>
      </c>
      <c r="G236">
        <v>1</v>
      </c>
      <c r="H236">
        <v>2005</v>
      </c>
      <c r="I236" t="s">
        <v>49</v>
      </c>
      <c r="J236" t="s">
        <v>51</v>
      </c>
      <c r="K236" t="s">
        <v>233</v>
      </c>
      <c r="L236" t="s">
        <v>234</v>
      </c>
      <c r="M236" t="s">
        <v>235</v>
      </c>
      <c r="N236" t="s">
        <v>181</v>
      </c>
      <c r="O236" t="s">
        <v>236</v>
      </c>
      <c r="P236" t="s">
        <v>5</v>
      </c>
      <c r="Q236" t="s">
        <v>6</v>
      </c>
      <c r="R236" t="s">
        <v>351</v>
      </c>
      <c r="S236" t="s">
        <v>8</v>
      </c>
      <c r="T236" t="s">
        <v>345</v>
      </c>
      <c r="U236">
        <f>Sales_Order[[#This Row],[Quantity ordered]]*Sales_Order[[#This Row],[Price each]]</f>
        <v>3156.16</v>
      </c>
    </row>
    <row r="237" spans="1:21" x14ac:dyDescent="0.3">
      <c r="A237">
        <v>10391</v>
      </c>
      <c r="B237">
        <v>42</v>
      </c>
      <c r="C237">
        <v>100</v>
      </c>
      <c r="D237">
        <v>3</v>
      </c>
      <c r="E237" s="1">
        <v>38598</v>
      </c>
      <c r="F237" t="s">
        <v>0</v>
      </c>
      <c r="G237">
        <v>1</v>
      </c>
      <c r="H237">
        <v>2005</v>
      </c>
      <c r="I237" t="s">
        <v>49</v>
      </c>
      <c r="J237" t="s">
        <v>51</v>
      </c>
      <c r="K237" t="s">
        <v>26</v>
      </c>
      <c r="L237" t="s">
        <v>27</v>
      </c>
      <c r="M237" t="s">
        <v>28</v>
      </c>
      <c r="N237" t="s">
        <v>21</v>
      </c>
      <c r="O237" t="s">
        <v>137</v>
      </c>
      <c r="P237" t="s">
        <v>13</v>
      </c>
      <c r="Q237" t="s">
        <v>14</v>
      </c>
      <c r="R237" t="s">
        <v>352</v>
      </c>
      <c r="S237" t="s">
        <v>8</v>
      </c>
      <c r="T237" t="s">
        <v>338</v>
      </c>
      <c r="U237">
        <f>Sales_Order[[#This Row],[Quantity ordered]]*Sales_Order[[#This Row],[Price each]]</f>
        <v>4200</v>
      </c>
    </row>
    <row r="238" spans="1:21" x14ac:dyDescent="0.3">
      <c r="A238">
        <v>10422</v>
      </c>
      <c r="B238">
        <v>25</v>
      </c>
      <c r="C238">
        <v>51.75</v>
      </c>
      <c r="D238">
        <v>1</v>
      </c>
      <c r="E238" s="1">
        <v>38502</v>
      </c>
      <c r="F238" t="s">
        <v>29</v>
      </c>
      <c r="G238">
        <v>2</v>
      </c>
      <c r="H238">
        <v>2005</v>
      </c>
      <c r="I238" t="s">
        <v>49</v>
      </c>
      <c r="J238" t="s">
        <v>51</v>
      </c>
      <c r="K238" t="s">
        <v>183</v>
      </c>
      <c r="L238" t="s">
        <v>184</v>
      </c>
      <c r="M238" t="s">
        <v>185</v>
      </c>
      <c r="N238" t="s">
        <v>186</v>
      </c>
      <c r="O238" t="s">
        <v>187</v>
      </c>
      <c r="P238" t="s">
        <v>5</v>
      </c>
      <c r="Q238" t="s">
        <v>6</v>
      </c>
      <c r="R238" t="s">
        <v>333</v>
      </c>
      <c r="S238" t="s">
        <v>7</v>
      </c>
      <c r="T238" t="s">
        <v>329</v>
      </c>
      <c r="U238">
        <f>Sales_Order[[#This Row],[Quantity ordered]]*Sales_Order[[#This Row],[Price each]]</f>
        <v>1293.75</v>
      </c>
    </row>
    <row r="239" spans="1:21" x14ac:dyDescent="0.3">
      <c r="A239">
        <v>10148</v>
      </c>
      <c r="B239">
        <v>47</v>
      </c>
      <c r="C239">
        <v>100</v>
      </c>
      <c r="D239">
        <v>9</v>
      </c>
      <c r="E239" s="1">
        <v>37934</v>
      </c>
      <c r="F239" t="s">
        <v>0</v>
      </c>
      <c r="G239">
        <v>3</v>
      </c>
      <c r="H239">
        <v>2003</v>
      </c>
      <c r="I239" t="s">
        <v>22</v>
      </c>
      <c r="J239" t="s">
        <v>52</v>
      </c>
      <c r="K239" t="s">
        <v>26</v>
      </c>
      <c r="L239" t="s">
        <v>27</v>
      </c>
      <c r="M239" t="s">
        <v>28</v>
      </c>
      <c r="N239" t="s">
        <v>21</v>
      </c>
      <c r="O239" t="s">
        <v>137</v>
      </c>
      <c r="P239" t="s">
        <v>13</v>
      </c>
      <c r="Q239" t="s">
        <v>14</v>
      </c>
      <c r="R239" t="s">
        <v>352</v>
      </c>
      <c r="S239" t="s">
        <v>8</v>
      </c>
      <c r="T239" t="s">
        <v>361</v>
      </c>
      <c r="U239">
        <f>Sales_Order[[#This Row],[Quantity ordered]]*Sales_Order[[#This Row],[Price each]]</f>
        <v>4700</v>
      </c>
    </row>
    <row r="240" spans="1:21" x14ac:dyDescent="0.3">
      <c r="A240">
        <v>10172</v>
      </c>
      <c r="B240">
        <v>42</v>
      </c>
      <c r="C240">
        <v>100</v>
      </c>
      <c r="D240">
        <v>6</v>
      </c>
      <c r="E240" s="1">
        <v>37752</v>
      </c>
      <c r="F240" t="s">
        <v>0</v>
      </c>
      <c r="G240">
        <v>4</v>
      </c>
      <c r="H240">
        <v>2003</v>
      </c>
      <c r="I240" t="s">
        <v>22</v>
      </c>
      <c r="J240" t="s">
        <v>52</v>
      </c>
      <c r="K240" t="s">
        <v>173</v>
      </c>
      <c r="L240" t="s">
        <v>174</v>
      </c>
      <c r="M240" t="s">
        <v>175</v>
      </c>
      <c r="N240" t="s">
        <v>176</v>
      </c>
      <c r="O240" t="s">
        <v>177</v>
      </c>
      <c r="P240" t="s">
        <v>5</v>
      </c>
      <c r="Q240" t="s">
        <v>6</v>
      </c>
      <c r="R240" t="s">
        <v>330</v>
      </c>
      <c r="S240" t="s">
        <v>8</v>
      </c>
      <c r="T240" t="s">
        <v>334</v>
      </c>
      <c r="U240">
        <f>Sales_Order[[#This Row],[Quantity ordered]]*Sales_Order[[#This Row],[Price each]]</f>
        <v>4200</v>
      </c>
    </row>
    <row r="241" spans="1:21" x14ac:dyDescent="0.3">
      <c r="A241">
        <v>10192</v>
      </c>
      <c r="B241">
        <v>29</v>
      </c>
      <c r="C241">
        <v>100</v>
      </c>
      <c r="D241">
        <v>7</v>
      </c>
      <c r="E241" s="1">
        <v>37945</v>
      </c>
      <c r="F241" t="s">
        <v>0</v>
      </c>
      <c r="G241">
        <v>4</v>
      </c>
      <c r="H241">
        <v>2003</v>
      </c>
      <c r="I241" t="s">
        <v>22</v>
      </c>
      <c r="J241" t="s">
        <v>52</v>
      </c>
      <c r="K241" t="s">
        <v>228</v>
      </c>
      <c r="L241" t="s">
        <v>229</v>
      </c>
      <c r="M241" t="s">
        <v>230</v>
      </c>
      <c r="N241" t="s">
        <v>231</v>
      </c>
      <c r="O241" t="s">
        <v>232</v>
      </c>
      <c r="P241" t="s">
        <v>5</v>
      </c>
      <c r="Q241" t="s">
        <v>6</v>
      </c>
      <c r="R241" t="s">
        <v>350</v>
      </c>
      <c r="S241" t="s">
        <v>8</v>
      </c>
      <c r="T241" t="s">
        <v>334</v>
      </c>
      <c r="U241">
        <f>Sales_Order[[#This Row],[Quantity ordered]]*Sales_Order[[#This Row],[Price each]]</f>
        <v>2900</v>
      </c>
    </row>
    <row r="242" spans="1:21" x14ac:dyDescent="0.3">
      <c r="A242">
        <v>10204</v>
      </c>
      <c r="B242">
        <v>40</v>
      </c>
      <c r="C242">
        <v>100</v>
      </c>
      <c r="D242">
        <v>13</v>
      </c>
      <c r="E242" s="1">
        <v>37664</v>
      </c>
      <c r="F242" t="s">
        <v>0</v>
      </c>
      <c r="G242">
        <v>4</v>
      </c>
      <c r="H242">
        <v>2003</v>
      </c>
      <c r="I242" t="s">
        <v>22</v>
      </c>
      <c r="J242" t="s">
        <v>52</v>
      </c>
      <c r="K242" t="s">
        <v>36</v>
      </c>
      <c r="L242" t="s">
        <v>37</v>
      </c>
      <c r="M242" t="s">
        <v>3</v>
      </c>
      <c r="N242" t="s">
        <v>4</v>
      </c>
      <c r="O242" t="s">
        <v>135</v>
      </c>
      <c r="P242" t="s">
        <v>5</v>
      </c>
      <c r="Q242" t="s">
        <v>6</v>
      </c>
      <c r="R242" t="s">
        <v>366</v>
      </c>
      <c r="S242" t="s">
        <v>8</v>
      </c>
      <c r="T242" t="s">
        <v>336</v>
      </c>
      <c r="U242">
        <f>Sales_Order[[#This Row],[Quantity ordered]]*Sales_Order[[#This Row],[Price each]]</f>
        <v>4000</v>
      </c>
    </row>
    <row r="243" spans="1:21" x14ac:dyDescent="0.3">
      <c r="A243">
        <v>10226</v>
      </c>
      <c r="B243">
        <v>38</v>
      </c>
      <c r="C243">
        <v>100</v>
      </c>
      <c r="D243">
        <v>4</v>
      </c>
      <c r="E243" s="1">
        <v>38043</v>
      </c>
      <c r="F243" t="s">
        <v>0</v>
      </c>
      <c r="G243">
        <v>1</v>
      </c>
      <c r="H243">
        <v>2004</v>
      </c>
      <c r="I243" t="s">
        <v>22</v>
      </c>
      <c r="J243" t="s">
        <v>52</v>
      </c>
      <c r="K243" t="s">
        <v>255</v>
      </c>
      <c r="L243" t="s">
        <v>256</v>
      </c>
      <c r="M243" t="s">
        <v>257</v>
      </c>
      <c r="N243" t="s">
        <v>161</v>
      </c>
      <c r="O243" t="s">
        <v>258</v>
      </c>
      <c r="P243" t="s">
        <v>5</v>
      </c>
      <c r="Q243" t="s">
        <v>6</v>
      </c>
      <c r="R243" t="s">
        <v>358</v>
      </c>
      <c r="S243" t="s">
        <v>8</v>
      </c>
      <c r="T243" t="s">
        <v>320</v>
      </c>
      <c r="U243">
        <f>Sales_Order[[#This Row],[Quantity ordered]]*Sales_Order[[#This Row],[Price each]]</f>
        <v>3800</v>
      </c>
    </row>
    <row r="244" spans="1:21" x14ac:dyDescent="0.3">
      <c r="A244">
        <v>10278</v>
      </c>
      <c r="B244">
        <v>23</v>
      </c>
      <c r="C244">
        <v>100</v>
      </c>
      <c r="D244">
        <v>2</v>
      </c>
      <c r="E244" s="1">
        <v>38146</v>
      </c>
      <c r="F244" t="s">
        <v>0</v>
      </c>
      <c r="G244">
        <v>3</v>
      </c>
      <c r="H244">
        <v>2004</v>
      </c>
      <c r="I244" t="s">
        <v>22</v>
      </c>
      <c r="J244" t="s">
        <v>52</v>
      </c>
      <c r="K244" t="s">
        <v>290</v>
      </c>
      <c r="L244" t="s">
        <v>291</v>
      </c>
      <c r="M244" t="s">
        <v>292</v>
      </c>
      <c r="N244" t="s">
        <v>293</v>
      </c>
      <c r="O244" t="s">
        <v>294</v>
      </c>
      <c r="P244" t="s">
        <v>5</v>
      </c>
      <c r="Q244" t="s">
        <v>6</v>
      </c>
      <c r="R244" t="s">
        <v>370</v>
      </c>
      <c r="S244" t="s">
        <v>7</v>
      </c>
      <c r="T244" t="s">
        <v>322</v>
      </c>
      <c r="U244">
        <f>Sales_Order[[#This Row],[Quantity ordered]]*Sales_Order[[#This Row],[Price each]]</f>
        <v>2300</v>
      </c>
    </row>
    <row r="245" spans="1:21" x14ac:dyDescent="0.3">
      <c r="A245">
        <v>10321</v>
      </c>
      <c r="B245">
        <v>44</v>
      </c>
      <c r="C245">
        <v>100</v>
      </c>
      <c r="D245">
        <v>6</v>
      </c>
      <c r="E245" s="1">
        <v>38088</v>
      </c>
      <c r="F245" t="s">
        <v>0</v>
      </c>
      <c r="G245">
        <v>4</v>
      </c>
      <c r="H245">
        <v>2004</v>
      </c>
      <c r="I245" t="s">
        <v>22</v>
      </c>
      <c r="J245" t="s">
        <v>52</v>
      </c>
      <c r="K245" t="s">
        <v>189</v>
      </c>
      <c r="L245" t="s">
        <v>190</v>
      </c>
      <c r="M245" t="s">
        <v>191</v>
      </c>
      <c r="N245" t="s">
        <v>181</v>
      </c>
      <c r="O245" t="s">
        <v>192</v>
      </c>
      <c r="P245" t="s">
        <v>5</v>
      </c>
      <c r="Q245" t="s">
        <v>6</v>
      </c>
      <c r="R245" t="s">
        <v>337</v>
      </c>
      <c r="S245" t="s">
        <v>8</v>
      </c>
      <c r="T245" t="s">
        <v>334</v>
      </c>
      <c r="U245">
        <f>Sales_Order[[#This Row],[Quantity ordered]]*Sales_Order[[#This Row],[Price each]]</f>
        <v>4400</v>
      </c>
    </row>
    <row r="246" spans="1:21" x14ac:dyDescent="0.3">
      <c r="A246">
        <v>10331</v>
      </c>
      <c r="B246">
        <v>44</v>
      </c>
      <c r="C246">
        <v>100</v>
      </c>
      <c r="D246">
        <v>14</v>
      </c>
      <c r="E246" s="1">
        <v>38308</v>
      </c>
      <c r="F246" t="s">
        <v>0</v>
      </c>
      <c r="G246">
        <v>4</v>
      </c>
      <c r="H246">
        <v>2004</v>
      </c>
      <c r="I246" t="s">
        <v>22</v>
      </c>
      <c r="J246" t="s">
        <v>52</v>
      </c>
      <c r="K246" t="s">
        <v>246</v>
      </c>
      <c r="L246" t="s">
        <v>247</v>
      </c>
      <c r="M246" t="s">
        <v>203</v>
      </c>
      <c r="N246" t="s">
        <v>186</v>
      </c>
      <c r="O246" t="s">
        <v>204</v>
      </c>
      <c r="P246" t="s">
        <v>5</v>
      </c>
      <c r="Q246" t="s">
        <v>6</v>
      </c>
      <c r="R246" t="s">
        <v>355</v>
      </c>
      <c r="S246" t="s">
        <v>8</v>
      </c>
      <c r="T246" t="s">
        <v>334</v>
      </c>
      <c r="U246">
        <f>Sales_Order[[#This Row],[Quantity ordered]]*Sales_Order[[#This Row],[Price each]]</f>
        <v>4400</v>
      </c>
    </row>
    <row r="247" spans="1:21" x14ac:dyDescent="0.3">
      <c r="A247">
        <v>10367</v>
      </c>
      <c r="B247">
        <v>49</v>
      </c>
      <c r="C247">
        <v>56.3</v>
      </c>
      <c r="D247">
        <v>1</v>
      </c>
      <c r="E247" s="1">
        <v>38687</v>
      </c>
      <c r="F247" t="s">
        <v>276</v>
      </c>
      <c r="G247">
        <v>1</v>
      </c>
      <c r="H247">
        <v>2005</v>
      </c>
      <c r="I247" t="s">
        <v>22</v>
      </c>
      <c r="J247" t="s">
        <v>52</v>
      </c>
      <c r="K247" t="s">
        <v>158</v>
      </c>
      <c r="L247" t="s">
        <v>159</v>
      </c>
      <c r="M247" t="s">
        <v>160</v>
      </c>
      <c r="N247" t="s">
        <v>161</v>
      </c>
      <c r="O247" t="s">
        <v>162</v>
      </c>
      <c r="P247" t="s">
        <v>5</v>
      </c>
      <c r="Q247" t="s">
        <v>6</v>
      </c>
      <c r="R247" t="s">
        <v>321</v>
      </c>
      <c r="S247" t="s">
        <v>7</v>
      </c>
      <c r="T247" t="s">
        <v>345</v>
      </c>
      <c r="U247">
        <f>Sales_Order[[#This Row],[Quantity ordered]]*Sales_Order[[#This Row],[Price each]]</f>
        <v>2758.7</v>
      </c>
    </row>
    <row r="248" spans="1:21" x14ac:dyDescent="0.3">
      <c r="A248">
        <v>10407</v>
      </c>
      <c r="B248">
        <v>59</v>
      </c>
      <c r="C248">
        <v>100</v>
      </c>
      <c r="D248">
        <v>11</v>
      </c>
      <c r="E248" s="1">
        <v>38464</v>
      </c>
      <c r="F248" t="s">
        <v>275</v>
      </c>
      <c r="G248">
        <v>2</v>
      </c>
      <c r="H248">
        <v>2005</v>
      </c>
      <c r="I248" t="s">
        <v>22</v>
      </c>
      <c r="J248" t="s">
        <v>52</v>
      </c>
      <c r="K248" t="s">
        <v>272</v>
      </c>
      <c r="L248" t="s">
        <v>273</v>
      </c>
      <c r="M248" t="s">
        <v>274</v>
      </c>
      <c r="N248" t="s">
        <v>161</v>
      </c>
      <c r="O248" t="s">
        <v>166</v>
      </c>
      <c r="P248" t="s">
        <v>5</v>
      </c>
      <c r="Q248" t="s">
        <v>6</v>
      </c>
      <c r="R248" t="s">
        <v>363</v>
      </c>
      <c r="S248" t="s">
        <v>17</v>
      </c>
      <c r="T248" t="s">
        <v>327</v>
      </c>
      <c r="U248">
        <f>Sales_Order[[#This Row],[Quantity ordered]]*Sales_Order[[#This Row],[Price each]]</f>
        <v>5900</v>
      </c>
    </row>
    <row r="249" spans="1:21" x14ac:dyDescent="0.3">
      <c r="A249">
        <v>10131</v>
      </c>
      <c r="B249">
        <v>21</v>
      </c>
      <c r="C249">
        <v>100</v>
      </c>
      <c r="D249">
        <v>4</v>
      </c>
      <c r="E249" s="1">
        <v>37788</v>
      </c>
      <c r="F249" t="s">
        <v>0</v>
      </c>
      <c r="G249">
        <v>2</v>
      </c>
      <c r="H249">
        <v>2003</v>
      </c>
      <c r="I249" t="s">
        <v>53</v>
      </c>
      <c r="J249" t="s">
        <v>300</v>
      </c>
      <c r="K249" t="s">
        <v>301</v>
      </c>
      <c r="L249" t="s">
        <v>302</v>
      </c>
      <c r="M249" t="s">
        <v>284</v>
      </c>
      <c r="N249" t="s">
        <v>176</v>
      </c>
      <c r="O249" t="s">
        <v>303</v>
      </c>
      <c r="P249" t="s">
        <v>5</v>
      </c>
      <c r="Q249" t="s">
        <v>6</v>
      </c>
      <c r="R249" t="s">
        <v>372</v>
      </c>
      <c r="S249" t="s">
        <v>7</v>
      </c>
      <c r="T249" t="s">
        <v>331</v>
      </c>
      <c r="U249">
        <f>Sales_Order[[#This Row],[Quantity ordered]]*Sales_Order[[#This Row],[Price each]]</f>
        <v>2100</v>
      </c>
    </row>
    <row r="250" spans="1:21" x14ac:dyDescent="0.3">
      <c r="A250">
        <v>10143</v>
      </c>
      <c r="B250">
        <v>32</v>
      </c>
      <c r="C250">
        <v>100</v>
      </c>
      <c r="D250">
        <v>7</v>
      </c>
      <c r="E250" s="1">
        <v>37902</v>
      </c>
      <c r="F250" t="s">
        <v>0</v>
      </c>
      <c r="G250">
        <v>3</v>
      </c>
      <c r="H250">
        <v>2003</v>
      </c>
      <c r="I250" t="s">
        <v>53</v>
      </c>
      <c r="J250" t="s">
        <v>300</v>
      </c>
      <c r="K250" t="s">
        <v>252</v>
      </c>
      <c r="L250" t="s">
        <v>253</v>
      </c>
      <c r="M250" t="s">
        <v>191</v>
      </c>
      <c r="N250" t="s">
        <v>181</v>
      </c>
      <c r="O250" t="s">
        <v>192</v>
      </c>
      <c r="P250" t="s">
        <v>5</v>
      </c>
      <c r="Q250" t="s">
        <v>6</v>
      </c>
      <c r="R250" t="s">
        <v>357</v>
      </c>
      <c r="S250" t="s">
        <v>8</v>
      </c>
      <c r="T250" t="s">
        <v>322</v>
      </c>
      <c r="U250">
        <f>Sales_Order[[#This Row],[Quantity ordered]]*Sales_Order[[#This Row],[Price each]]</f>
        <v>3200</v>
      </c>
    </row>
    <row r="251" spans="1:21" x14ac:dyDescent="0.3">
      <c r="A251">
        <v>10210</v>
      </c>
      <c r="B251">
        <v>31</v>
      </c>
      <c r="C251">
        <v>100</v>
      </c>
      <c r="D251">
        <v>17</v>
      </c>
      <c r="E251" s="1">
        <v>38322</v>
      </c>
      <c r="F251" t="s">
        <v>0</v>
      </c>
      <c r="G251">
        <v>1</v>
      </c>
      <c r="H251">
        <v>2004</v>
      </c>
      <c r="I251" t="s">
        <v>53</v>
      </c>
      <c r="J251" t="s">
        <v>300</v>
      </c>
      <c r="K251" t="s">
        <v>242</v>
      </c>
      <c r="L251" t="s">
        <v>243</v>
      </c>
      <c r="M251" t="s">
        <v>244</v>
      </c>
      <c r="N251" t="s">
        <v>244</v>
      </c>
      <c r="O251" t="s">
        <v>245</v>
      </c>
      <c r="P251" t="s">
        <v>195</v>
      </c>
      <c r="Q251" t="s">
        <v>195</v>
      </c>
      <c r="R251" t="s">
        <v>354</v>
      </c>
      <c r="S251" t="s">
        <v>8</v>
      </c>
      <c r="T251" t="s">
        <v>345</v>
      </c>
      <c r="U251">
        <f>Sales_Order[[#This Row],[Quantity ordered]]*Sales_Order[[#This Row],[Price each]]</f>
        <v>3100</v>
      </c>
    </row>
    <row r="252" spans="1:21" x14ac:dyDescent="0.3">
      <c r="A252">
        <v>10222</v>
      </c>
      <c r="B252">
        <v>49</v>
      </c>
      <c r="C252">
        <v>100</v>
      </c>
      <c r="D252">
        <v>4</v>
      </c>
      <c r="E252" s="1">
        <v>38036</v>
      </c>
      <c r="F252" t="s">
        <v>0</v>
      </c>
      <c r="G252">
        <v>1</v>
      </c>
      <c r="H252">
        <v>2004</v>
      </c>
      <c r="I252" t="s">
        <v>53</v>
      </c>
      <c r="J252" t="s">
        <v>300</v>
      </c>
      <c r="K252" t="s">
        <v>255</v>
      </c>
      <c r="L252" t="s">
        <v>256</v>
      </c>
      <c r="M252" t="s">
        <v>257</v>
      </c>
      <c r="N252" t="s">
        <v>161</v>
      </c>
      <c r="O252" t="s">
        <v>258</v>
      </c>
      <c r="P252" t="s">
        <v>5</v>
      </c>
      <c r="Q252" t="s">
        <v>6</v>
      </c>
      <c r="R252" t="s">
        <v>358</v>
      </c>
      <c r="S252" t="s">
        <v>8</v>
      </c>
      <c r="T252" t="s">
        <v>320</v>
      </c>
      <c r="U252">
        <f>Sales_Order[[#This Row],[Quantity ordered]]*Sales_Order[[#This Row],[Price each]]</f>
        <v>4900</v>
      </c>
    </row>
    <row r="253" spans="1:21" x14ac:dyDescent="0.3">
      <c r="A253">
        <v>10250</v>
      </c>
      <c r="B253">
        <v>45</v>
      </c>
      <c r="C253">
        <v>100</v>
      </c>
      <c r="D253">
        <v>14</v>
      </c>
      <c r="E253" s="1">
        <v>38296</v>
      </c>
      <c r="F253" t="s">
        <v>0</v>
      </c>
      <c r="G253">
        <v>2</v>
      </c>
      <c r="H253">
        <v>2004</v>
      </c>
      <c r="I253" t="s">
        <v>53</v>
      </c>
      <c r="J253" t="s">
        <v>300</v>
      </c>
      <c r="K253" t="s">
        <v>272</v>
      </c>
      <c r="L253" t="s">
        <v>273</v>
      </c>
      <c r="M253" t="s">
        <v>274</v>
      </c>
      <c r="N253" t="s">
        <v>161</v>
      </c>
      <c r="O253" t="s">
        <v>166</v>
      </c>
      <c r="P253" t="s">
        <v>5</v>
      </c>
      <c r="Q253" t="s">
        <v>6</v>
      </c>
      <c r="R253" t="s">
        <v>363</v>
      </c>
      <c r="S253" t="s">
        <v>17</v>
      </c>
      <c r="T253" t="s">
        <v>329</v>
      </c>
      <c r="U253">
        <f>Sales_Order[[#This Row],[Quantity ordered]]*Sales_Order[[#This Row],[Price each]]</f>
        <v>4500</v>
      </c>
    </row>
    <row r="254" spans="1:21" x14ac:dyDescent="0.3">
      <c r="A254">
        <v>10274</v>
      </c>
      <c r="B254">
        <v>41</v>
      </c>
      <c r="C254">
        <v>100</v>
      </c>
      <c r="D254">
        <v>1</v>
      </c>
      <c r="E254" s="1">
        <v>38189</v>
      </c>
      <c r="F254" t="s">
        <v>0</v>
      </c>
      <c r="G254">
        <v>3</v>
      </c>
      <c r="H254">
        <v>2004</v>
      </c>
      <c r="I254" t="s">
        <v>53</v>
      </c>
      <c r="J254" t="s">
        <v>300</v>
      </c>
      <c r="K254" t="s">
        <v>233</v>
      </c>
      <c r="L254" t="s">
        <v>234</v>
      </c>
      <c r="M254" t="s">
        <v>235</v>
      </c>
      <c r="N254" t="s">
        <v>181</v>
      </c>
      <c r="O254" t="s">
        <v>236</v>
      </c>
      <c r="P254" t="s">
        <v>5</v>
      </c>
      <c r="Q254" t="s">
        <v>6</v>
      </c>
      <c r="R254" t="s">
        <v>351</v>
      </c>
      <c r="S254" t="s">
        <v>8</v>
      </c>
      <c r="T254" t="s">
        <v>339</v>
      </c>
      <c r="U254">
        <f>Sales_Order[[#This Row],[Quantity ordered]]*Sales_Order[[#This Row],[Price each]]</f>
        <v>4100</v>
      </c>
    </row>
    <row r="255" spans="1:21" x14ac:dyDescent="0.3">
      <c r="A255">
        <v>10307</v>
      </c>
      <c r="B255">
        <v>39</v>
      </c>
      <c r="C255">
        <v>100</v>
      </c>
      <c r="D255">
        <v>1</v>
      </c>
      <c r="E255" s="1">
        <v>38274</v>
      </c>
      <c r="F255" t="s">
        <v>0</v>
      </c>
      <c r="G255">
        <v>4</v>
      </c>
      <c r="H255">
        <v>2004</v>
      </c>
      <c r="I255" t="s">
        <v>53</v>
      </c>
      <c r="J255" t="s">
        <v>300</v>
      </c>
      <c r="K255" t="s">
        <v>201</v>
      </c>
      <c r="L255" t="s">
        <v>202</v>
      </c>
      <c r="M255" t="s">
        <v>203</v>
      </c>
      <c r="N255" t="s">
        <v>186</v>
      </c>
      <c r="O255" t="s">
        <v>204</v>
      </c>
      <c r="P255" t="s">
        <v>5</v>
      </c>
      <c r="Q255" t="s">
        <v>6</v>
      </c>
      <c r="R255" t="s">
        <v>342</v>
      </c>
      <c r="S255" t="s">
        <v>17</v>
      </c>
      <c r="T255" t="s">
        <v>324</v>
      </c>
      <c r="U255">
        <f>Sales_Order[[#This Row],[Quantity ordered]]*Sales_Order[[#This Row],[Price each]]</f>
        <v>3900</v>
      </c>
    </row>
    <row r="256" spans="1:21" x14ac:dyDescent="0.3">
      <c r="A256">
        <v>10316</v>
      </c>
      <c r="B256">
        <v>27</v>
      </c>
      <c r="C256">
        <v>100</v>
      </c>
      <c r="D256">
        <v>9</v>
      </c>
      <c r="E256" s="1">
        <v>37997</v>
      </c>
      <c r="F256" t="s">
        <v>0</v>
      </c>
      <c r="G256">
        <v>4</v>
      </c>
      <c r="H256">
        <v>2004</v>
      </c>
      <c r="I256" t="s">
        <v>53</v>
      </c>
      <c r="J256" t="s">
        <v>300</v>
      </c>
      <c r="K256" t="s">
        <v>267</v>
      </c>
      <c r="L256" t="s">
        <v>268</v>
      </c>
      <c r="M256" t="s">
        <v>269</v>
      </c>
      <c r="N256" t="s">
        <v>270</v>
      </c>
      <c r="O256" t="s">
        <v>271</v>
      </c>
      <c r="P256" t="s">
        <v>193</v>
      </c>
      <c r="Q256" t="s">
        <v>157</v>
      </c>
      <c r="R256" t="s">
        <v>362</v>
      </c>
      <c r="S256" t="s">
        <v>8</v>
      </c>
      <c r="T256" t="s">
        <v>334</v>
      </c>
      <c r="U256">
        <f>Sales_Order[[#This Row],[Quantity ordered]]*Sales_Order[[#This Row],[Price each]]</f>
        <v>2700</v>
      </c>
    </row>
    <row r="257" spans="1:21" x14ac:dyDescent="0.3">
      <c r="A257">
        <v>10400</v>
      </c>
      <c r="B257">
        <v>34</v>
      </c>
      <c r="C257">
        <v>100</v>
      </c>
      <c r="D257">
        <v>1</v>
      </c>
      <c r="E257" s="1">
        <v>38356</v>
      </c>
      <c r="F257" t="s">
        <v>0</v>
      </c>
      <c r="G257">
        <v>2</v>
      </c>
      <c r="H257">
        <v>2005</v>
      </c>
      <c r="I257" t="s">
        <v>53</v>
      </c>
      <c r="J257" t="s">
        <v>300</v>
      </c>
      <c r="K257" t="s">
        <v>272</v>
      </c>
      <c r="L257" t="s">
        <v>273</v>
      </c>
      <c r="M257" t="s">
        <v>274</v>
      </c>
      <c r="N257" t="s">
        <v>161</v>
      </c>
      <c r="O257" t="s">
        <v>166</v>
      </c>
      <c r="P257" t="s">
        <v>5</v>
      </c>
      <c r="Q257" t="s">
        <v>6</v>
      </c>
      <c r="R257" t="s">
        <v>363</v>
      </c>
      <c r="S257" t="s">
        <v>8</v>
      </c>
      <c r="T257" t="s">
        <v>327</v>
      </c>
      <c r="U257">
        <f>Sales_Order[[#This Row],[Quantity ordered]]*Sales_Order[[#This Row],[Price each]]</f>
        <v>3400</v>
      </c>
    </row>
    <row r="258" spans="1:21" x14ac:dyDescent="0.3">
      <c r="A258">
        <v>10100</v>
      </c>
      <c r="B258">
        <v>30</v>
      </c>
      <c r="C258">
        <v>100</v>
      </c>
      <c r="D258">
        <v>3</v>
      </c>
      <c r="E258" s="1">
        <v>37773</v>
      </c>
      <c r="F258" t="s">
        <v>0</v>
      </c>
      <c r="G258">
        <v>1</v>
      </c>
      <c r="H258">
        <v>2003</v>
      </c>
      <c r="I258" t="s">
        <v>49</v>
      </c>
      <c r="J258" t="s">
        <v>54</v>
      </c>
      <c r="K258" t="s">
        <v>228</v>
      </c>
      <c r="L258" t="s">
        <v>229</v>
      </c>
      <c r="M258" t="s">
        <v>230</v>
      </c>
      <c r="N258" t="s">
        <v>231</v>
      </c>
      <c r="O258" t="s">
        <v>232</v>
      </c>
      <c r="P258" t="s">
        <v>5</v>
      </c>
      <c r="Q258" t="s">
        <v>6</v>
      </c>
      <c r="R258" t="s">
        <v>350</v>
      </c>
      <c r="S258" t="s">
        <v>8</v>
      </c>
      <c r="T258" t="s">
        <v>345</v>
      </c>
      <c r="U258">
        <f>Sales_Order[[#This Row],[Quantity ordered]]*Sales_Order[[#This Row],[Price each]]</f>
        <v>3000</v>
      </c>
    </row>
    <row r="259" spans="1:21" x14ac:dyDescent="0.3">
      <c r="A259">
        <v>10124</v>
      </c>
      <c r="B259">
        <v>21</v>
      </c>
      <c r="C259">
        <v>100</v>
      </c>
      <c r="D259">
        <v>6</v>
      </c>
      <c r="E259" s="1">
        <v>37762</v>
      </c>
      <c r="F259" t="s">
        <v>0</v>
      </c>
      <c r="G259">
        <v>2</v>
      </c>
      <c r="H259">
        <v>2003</v>
      </c>
      <c r="I259" t="s">
        <v>49</v>
      </c>
      <c r="J259" t="s">
        <v>54</v>
      </c>
      <c r="K259" t="s">
        <v>290</v>
      </c>
      <c r="L259" t="s">
        <v>291</v>
      </c>
      <c r="M259" t="s">
        <v>292</v>
      </c>
      <c r="N259" t="s">
        <v>293</v>
      </c>
      <c r="O259" t="s">
        <v>294</v>
      </c>
      <c r="P259" t="s">
        <v>5</v>
      </c>
      <c r="Q259" t="s">
        <v>6</v>
      </c>
      <c r="R259" t="s">
        <v>370</v>
      </c>
      <c r="S259" t="s">
        <v>7</v>
      </c>
      <c r="T259" t="s">
        <v>329</v>
      </c>
      <c r="U259">
        <f>Sales_Order[[#This Row],[Quantity ordered]]*Sales_Order[[#This Row],[Price each]]</f>
        <v>2100</v>
      </c>
    </row>
    <row r="260" spans="1:21" x14ac:dyDescent="0.3">
      <c r="A260">
        <v>10149</v>
      </c>
      <c r="B260">
        <v>34</v>
      </c>
      <c r="C260">
        <v>100</v>
      </c>
      <c r="D260">
        <v>11</v>
      </c>
      <c r="E260" s="1">
        <v>37964</v>
      </c>
      <c r="F260" t="s">
        <v>0</v>
      </c>
      <c r="G260">
        <v>3</v>
      </c>
      <c r="H260">
        <v>2003</v>
      </c>
      <c r="I260" t="s">
        <v>49</v>
      </c>
      <c r="J260" t="s">
        <v>54</v>
      </c>
      <c r="K260" t="s">
        <v>286</v>
      </c>
      <c r="L260" t="s">
        <v>287</v>
      </c>
      <c r="M260" t="s">
        <v>288</v>
      </c>
      <c r="N260" t="s">
        <v>161</v>
      </c>
      <c r="O260" t="s">
        <v>166</v>
      </c>
      <c r="P260" t="s">
        <v>5</v>
      </c>
      <c r="Q260" t="s">
        <v>6</v>
      </c>
      <c r="R260" t="s">
        <v>369</v>
      </c>
      <c r="S260" t="s">
        <v>8</v>
      </c>
      <c r="T260" t="s">
        <v>361</v>
      </c>
      <c r="U260">
        <f>Sales_Order[[#This Row],[Quantity ordered]]*Sales_Order[[#This Row],[Price each]]</f>
        <v>3400</v>
      </c>
    </row>
    <row r="261" spans="1:21" x14ac:dyDescent="0.3">
      <c r="A261">
        <v>10182</v>
      </c>
      <c r="B261">
        <v>44</v>
      </c>
      <c r="C261">
        <v>100</v>
      </c>
      <c r="D261">
        <v>10</v>
      </c>
      <c r="E261" s="1">
        <v>37966</v>
      </c>
      <c r="F261" t="s">
        <v>0</v>
      </c>
      <c r="G261">
        <v>4</v>
      </c>
      <c r="H261">
        <v>2003</v>
      </c>
      <c r="I261" t="s">
        <v>49</v>
      </c>
      <c r="J261" t="s">
        <v>54</v>
      </c>
      <c r="K261" t="s">
        <v>225</v>
      </c>
      <c r="L261" t="s">
        <v>226</v>
      </c>
      <c r="M261" t="s">
        <v>227</v>
      </c>
      <c r="N261" t="s">
        <v>161</v>
      </c>
      <c r="O261" t="s">
        <v>177</v>
      </c>
      <c r="P261" t="s">
        <v>5</v>
      </c>
      <c r="Q261" t="s">
        <v>6</v>
      </c>
      <c r="R261" t="s">
        <v>349</v>
      </c>
      <c r="S261" t="s">
        <v>17</v>
      </c>
      <c r="T261" t="s">
        <v>334</v>
      </c>
      <c r="U261">
        <f>Sales_Order[[#This Row],[Quantity ordered]]*Sales_Order[[#This Row],[Price each]]</f>
        <v>4400</v>
      </c>
    </row>
    <row r="262" spans="1:21" x14ac:dyDescent="0.3">
      <c r="A262">
        <v>10193</v>
      </c>
      <c r="B262">
        <v>21</v>
      </c>
      <c r="C262">
        <v>100</v>
      </c>
      <c r="D262">
        <v>14</v>
      </c>
      <c r="E262" s="1">
        <v>37946</v>
      </c>
      <c r="F262" t="s">
        <v>0</v>
      </c>
      <c r="G262">
        <v>4</v>
      </c>
      <c r="H262">
        <v>2003</v>
      </c>
      <c r="I262" t="s">
        <v>49</v>
      </c>
      <c r="J262" t="s">
        <v>54</v>
      </c>
      <c r="K262" t="s">
        <v>296</v>
      </c>
      <c r="L262" t="s">
        <v>297</v>
      </c>
      <c r="M262" t="s">
        <v>298</v>
      </c>
      <c r="N262" t="s">
        <v>12</v>
      </c>
      <c r="O262" t="s">
        <v>299</v>
      </c>
      <c r="P262" t="s">
        <v>13</v>
      </c>
      <c r="Q262" t="s">
        <v>14</v>
      </c>
      <c r="R262" t="s">
        <v>371</v>
      </c>
      <c r="S262" t="s">
        <v>8</v>
      </c>
      <c r="T262" t="s">
        <v>334</v>
      </c>
      <c r="U262">
        <f>Sales_Order[[#This Row],[Quantity ordered]]*Sales_Order[[#This Row],[Price each]]</f>
        <v>2100</v>
      </c>
    </row>
    <row r="263" spans="1:21" x14ac:dyDescent="0.3">
      <c r="A263">
        <v>10204</v>
      </c>
      <c r="B263">
        <v>33</v>
      </c>
      <c r="C263">
        <v>100</v>
      </c>
      <c r="D263">
        <v>4</v>
      </c>
      <c r="E263" s="1">
        <v>37664</v>
      </c>
      <c r="F263" t="s">
        <v>0</v>
      </c>
      <c r="G263">
        <v>4</v>
      </c>
      <c r="H263">
        <v>2003</v>
      </c>
      <c r="I263" t="s">
        <v>49</v>
      </c>
      <c r="J263" t="s">
        <v>54</v>
      </c>
      <c r="K263" t="s">
        <v>36</v>
      </c>
      <c r="L263" t="s">
        <v>37</v>
      </c>
      <c r="M263" t="s">
        <v>3</v>
      </c>
      <c r="N263" t="s">
        <v>4</v>
      </c>
      <c r="O263" t="s">
        <v>135</v>
      </c>
      <c r="P263" t="s">
        <v>5</v>
      </c>
      <c r="Q263" t="s">
        <v>6</v>
      </c>
      <c r="R263" t="s">
        <v>366</v>
      </c>
      <c r="S263" t="s">
        <v>8</v>
      </c>
      <c r="T263" t="s">
        <v>336</v>
      </c>
      <c r="U263">
        <f>Sales_Order[[#This Row],[Quantity ordered]]*Sales_Order[[#This Row],[Price each]]</f>
        <v>3300</v>
      </c>
    </row>
    <row r="264" spans="1:21" x14ac:dyDescent="0.3">
      <c r="A264">
        <v>10312</v>
      </c>
      <c r="B264">
        <v>48</v>
      </c>
      <c r="C264">
        <v>100</v>
      </c>
      <c r="D264">
        <v>17</v>
      </c>
      <c r="E264" s="1">
        <v>38281</v>
      </c>
      <c r="F264" t="s">
        <v>0</v>
      </c>
      <c r="G264">
        <v>4</v>
      </c>
      <c r="H264">
        <v>2004</v>
      </c>
      <c r="I264" t="s">
        <v>49</v>
      </c>
      <c r="J264" t="s">
        <v>54</v>
      </c>
      <c r="K264" t="s">
        <v>225</v>
      </c>
      <c r="L264" t="s">
        <v>226</v>
      </c>
      <c r="M264" t="s">
        <v>227</v>
      </c>
      <c r="N264" t="s">
        <v>161</v>
      </c>
      <c r="O264" t="s">
        <v>177</v>
      </c>
      <c r="P264" t="s">
        <v>5</v>
      </c>
      <c r="Q264" t="s">
        <v>6</v>
      </c>
      <c r="R264" t="s">
        <v>349</v>
      </c>
      <c r="S264" t="s">
        <v>17</v>
      </c>
      <c r="T264" t="s">
        <v>324</v>
      </c>
      <c r="U264">
        <f>Sales_Order[[#This Row],[Quantity ordered]]*Sales_Order[[#This Row],[Price each]]</f>
        <v>4800</v>
      </c>
    </row>
    <row r="265" spans="1:21" x14ac:dyDescent="0.3">
      <c r="A265">
        <v>10331</v>
      </c>
      <c r="B265">
        <v>44</v>
      </c>
      <c r="C265">
        <v>74.040000000000006</v>
      </c>
      <c r="D265">
        <v>7</v>
      </c>
      <c r="E265" s="1">
        <v>38308</v>
      </c>
      <c r="F265" t="s">
        <v>0</v>
      </c>
      <c r="G265">
        <v>4</v>
      </c>
      <c r="H265">
        <v>2004</v>
      </c>
      <c r="I265" t="s">
        <v>49</v>
      </c>
      <c r="J265" t="s">
        <v>54</v>
      </c>
      <c r="K265" t="s">
        <v>246</v>
      </c>
      <c r="L265" t="s">
        <v>247</v>
      </c>
      <c r="M265" t="s">
        <v>203</v>
      </c>
      <c r="N265" t="s">
        <v>186</v>
      </c>
      <c r="O265" t="s">
        <v>204</v>
      </c>
      <c r="P265" t="s">
        <v>5</v>
      </c>
      <c r="Q265" t="s">
        <v>6</v>
      </c>
      <c r="R265" t="s">
        <v>355</v>
      </c>
      <c r="S265" t="s">
        <v>8</v>
      </c>
      <c r="T265" t="s">
        <v>334</v>
      </c>
      <c r="U265">
        <f>Sales_Order[[#This Row],[Quantity ordered]]*Sales_Order[[#This Row],[Price each]]</f>
        <v>3257.76</v>
      </c>
    </row>
    <row r="266" spans="1:21" x14ac:dyDescent="0.3">
      <c r="A266">
        <v>10367</v>
      </c>
      <c r="B266">
        <v>37</v>
      </c>
      <c r="C266">
        <v>100</v>
      </c>
      <c r="D266">
        <v>3</v>
      </c>
      <c r="E266" s="1">
        <v>38687</v>
      </c>
      <c r="F266" t="s">
        <v>276</v>
      </c>
      <c r="G266">
        <v>1</v>
      </c>
      <c r="H266">
        <v>2005</v>
      </c>
      <c r="I266" t="s">
        <v>49</v>
      </c>
      <c r="J266" t="s">
        <v>54</v>
      </c>
      <c r="K266" t="s">
        <v>158</v>
      </c>
      <c r="L266" t="s">
        <v>159</v>
      </c>
      <c r="M266" t="s">
        <v>160</v>
      </c>
      <c r="N266" t="s">
        <v>161</v>
      </c>
      <c r="O266" t="s">
        <v>162</v>
      </c>
      <c r="P266" t="s">
        <v>5</v>
      </c>
      <c r="Q266" t="s">
        <v>6</v>
      </c>
      <c r="R266" t="s">
        <v>321</v>
      </c>
      <c r="S266" t="s">
        <v>8</v>
      </c>
      <c r="T266" t="s">
        <v>345</v>
      </c>
      <c r="U266">
        <f>Sales_Order[[#This Row],[Quantity ordered]]*Sales_Order[[#This Row],[Price each]]</f>
        <v>3700</v>
      </c>
    </row>
    <row r="267" spans="1:21" x14ac:dyDescent="0.3">
      <c r="A267">
        <v>10407</v>
      </c>
      <c r="B267">
        <v>76</v>
      </c>
      <c r="C267">
        <v>100</v>
      </c>
      <c r="D267">
        <v>2</v>
      </c>
      <c r="E267" s="1">
        <v>38464</v>
      </c>
      <c r="F267" t="s">
        <v>275</v>
      </c>
      <c r="G267">
        <v>2</v>
      </c>
      <c r="H267">
        <v>2005</v>
      </c>
      <c r="I267" t="s">
        <v>49</v>
      </c>
      <c r="J267" t="s">
        <v>54</v>
      </c>
      <c r="K267" t="s">
        <v>272</v>
      </c>
      <c r="L267" t="s">
        <v>273</v>
      </c>
      <c r="M267" t="s">
        <v>274</v>
      </c>
      <c r="N267" t="s">
        <v>161</v>
      </c>
      <c r="O267" t="s">
        <v>166</v>
      </c>
      <c r="P267" t="s">
        <v>5</v>
      </c>
      <c r="Q267" t="s">
        <v>6</v>
      </c>
      <c r="R267" t="s">
        <v>363</v>
      </c>
      <c r="S267" t="s">
        <v>17</v>
      </c>
      <c r="T267" t="s">
        <v>327</v>
      </c>
      <c r="U267">
        <f>Sales_Order[[#This Row],[Quantity ordered]]*Sales_Order[[#This Row],[Price each]]</f>
        <v>7600</v>
      </c>
    </row>
    <row r="268" spans="1:21" x14ac:dyDescent="0.3">
      <c r="A268">
        <v>10420</v>
      </c>
      <c r="B268">
        <v>37</v>
      </c>
      <c r="C268">
        <v>100</v>
      </c>
      <c r="D268">
        <v>5</v>
      </c>
      <c r="E268" s="1">
        <v>38501</v>
      </c>
      <c r="F268" t="s">
        <v>29</v>
      </c>
      <c r="G268">
        <v>2</v>
      </c>
      <c r="H268">
        <v>2005</v>
      </c>
      <c r="I268" t="s">
        <v>49</v>
      </c>
      <c r="J268" t="s">
        <v>54</v>
      </c>
      <c r="K268" t="s">
        <v>18</v>
      </c>
      <c r="L268" t="s">
        <v>19</v>
      </c>
      <c r="M268" t="s">
        <v>20</v>
      </c>
      <c r="N268" t="s">
        <v>21</v>
      </c>
      <c r="O268" t="s">
        <v>136</v>
      </c>
      <c r="P268" t="s">
        <v>13</v>
      </c>
      <c r="Q268" t="s">
        <v>14</v>
      </c>
      <c r="R268" t="s">
        <v>335</v>
      </c>
      <c r="S268" t="s">
        <v>8</v>
      </c>
      <c r="T268" t="s">
        <v>329</v>
      </c>
      <c r="U268">
        <f>Sales_Order[[#This Row],[Quantity ordered]]*Sales_Order[[#This Row],[Price each]]</f>
        <v>3700</v>
      </c>
    </row>
    <row r="269" spans="1:21" x14ac:dyDescent="0.3">
      <c r="A269">
        <v>10135</v>
      </c>
      <c r="B269">
        <v>48</v>
      </c>
      <c r="C269">
        <v>79.31</v>
      </c>
      <c r="D269">
        <v>3</v>
      </c>
      <c r="E269" s="1">
        <v>37659</v>
      </c>
      <c r="F269" t="s">
        <v>0</v>
      </c>
      <c r="G269">
        <v>3</v>
      </c>
      <c r="H269">
        <v>2003</v>
      </c>
      <c r="I269" t="s">
        <v>22</v>
      </c>
      <c r="J269" t="s">
        <v>55</v>
      </c>
      <c r="K269" t="s">
        <v>225</v>
      </c>
      <c r="L269" t="s">
        <v>226</v>
      </c>
      <c r="M269" t="s">
        <v>227</v>
      </c>
      <c r="N269" t="s">
        <v>161</v>
      </c>
      <c r="O269" t="s">
        <v>177</v>
      </c>
      <c r="P269" t="s">
        <v>5</v>
      </c>
      <c r="Q269" t="s">
        <v>6</v>
      </c>
      <c r="R269" t="s">
        <v>349</v>
      </c>
      <c r="S269" t="s">
        <v>8</v>
      </c>
      <c r="T269" t="s">
        <v>339</v>
      </c>
      <c r="U269">
        <f>Sales_Order[[#This Row],[Quantity ordered]]*Sales_Order[[#This Row],[Price each]]</f>
        <v>3806.88</v>
      </c>
    </row>
    <row r="270" spans="1:21" x14ac:dyDescent="0.3">
      <c r="A270">
        <v>10147</v>
      </c>
      <c r="B270">
        <v>26</v>
      </c>
      <c r="C270">
        <v>82.39</v>
      </c>
      <c r="D270">
        <v>3</v>
      </c>
      <c r="E270" s="1">
        <v>37750</v>
      </c>
      <c r="F270" t="s">
        <v>0</v>
      </c>
      <c r="G270">
        <v>3</v>
      </c>
      <c r="H270">
        <v>2003</v>
      </c>
      <c r="I270" t="s">
        <v>22</v>
      </c>
      <c r="J270" t="s">
        <v>55</v>
      </c>
      <c r="K270" t="s">
        <v>233</v>
      </c>
      <c r="L270" t="s">
        <v>234</v>
      </c>
      <c r="M270" t="s">
        <v>235</v>
      </c>
      <c r="N270" t="s">
        <v>181</v>
      </c>
      <c r="O270" t="s">
        <v>236</v>
      </c>
      <c r="P270" t="s">
        <v>5</v>
      </c>
      <c r="Q270" t="s">
        <v>6</v>
      </c>
      <c r="R270" t="s">
        <v>351</v>
      </c>
      <c r="S270" t="s">
        <v>7</v>
      </c>
      <c r="T270" t="s">
        <v>361</v>
      </c>
      <c r="U270">
        <f>Sales_Order[[#This Row],[Quantity ordered]]*Sales_Order[[#This Row],[Price each]]</f>
        <v>2142.14</v>
      </c>
    </row>
    <row r="271" spans="1:21" x14ac:dyDescent="0.3">
      <c r="A271">
        <v>10192</v>
      </c>
      <c r="B271">
        <v>45</v>
      </c>
      <c r="C271">
        <v>90.86</v>
      </c>
      <c r="D271">
        <v>15</v>
      </c>
      <c r="E271" s="1">
        <v>37945</v>
      </c>
      <c r="F271" t="s">
        <v>0</v>
      </c>
      <c r="G271">
        <v>4</v>
      </c>
      <c r="H271">
        <v>2003</v>
      </c>
      <c r="I271" t="s">
        <v>22</v>
      </c>
      <c r="J271" t="s">
        <v>55</v>
      </c>
      <c r="K271" t="s">
        <v>228</v>
      </c>
      <c r="L271" t="s">
        <v>229</v>
      </c>
      <c r="M271" t="s">
        <v>230</v>
      </c>
      <c r="N271" t="s">
        <v>231</v>
      </c>
      <c r="O271" t="s">
        <v>232</v>
      </c>
      <c r="P271" t="s">
        <v>5</v>
      </c>
      <c r="Q271" t="s">
        <v>6</v>
      </c>
      <c r="R271" t="s">
        <v>350</v>
      </c>
      <c r="S271" t="s">
        <v>8</v>
      </c>
      <c r="T271" t="s">
        <v>334</v>
      </c>
      <c r="U271">
        <f>Sales_Order[[#This Row],[Quantity ordered]]*Sales_Order[[#This Row],[Price each]]</f>
        <v>4088.7</v>
      </c>
    </row>
    <row r="272" spans="1:21" x14ac:dyDescent="0.3">
      <c r="A272">
        <v>10278</v>
      </c>
      <c r="B272">
        <v>29</v>
      </c>
      <c r="C272">
        <v>90.86</v>
      </c>
      <c r="D272">
        <v>10</v>
      </c>
      <c r="E272" s="1">
        <v>38146</v>
      </c>
      <c r="F272" t="s">
        <v>0</v>
      </c>
      <c r="G272">
        <v>3</v>
      </c>
      <c r="H272">
        <v>2004</v>
      </c>
      <c r="I272" t="s">
        <v>22</v>
      </c>
      <c r="J272" t="s">
        <v>55</v>
      </c>
      <c r="K272" t="s">
        <v>290</v>
      </c>
      <c r="L272" t="s">
        <v>291</v>
      </c>
      <c r="M272" t="s">
        <v>292</v>
      </c>
      <c r="N272" t="s">
        <v>293</v>
      </c>
      <c r="O272" t="s">
        <v>294</v>
      </c>
      <c r="P272" t="s">
        <v>5</v>
      </c>
      <c r="Q272" t="s">
        <v>6</v>
      </c>
      <c r="R272" t="s">
        <v>370</v>
      </c>
      <c r="S272" t="s">
        <v>7</v>
      </c>
      <c r="T272" t="s">
        <v>322</v>
      </c>
      <c r="U272">
        <f>Sales_Order[[#This Row],[Quantity ordered]]*Sales_Order[[#This Row],[Price each]]</f>
        <v>2634.94</v>
      </c>
    </row>
    <row r="273" spans="1:21" x14ac:dyDescent="0.3">
      <c r="A273">
        <v>10321</v>
      </c>
      <c r="B273">
        <v>37</v>
      </c>
      <c r="C273">
        <v>78.540000000000006</v>
      </c>
      <c r="D273">
        <v>14</v>
      </c>
      <c r="E273" s="1">
        <v>38088</v>
      </c>
      <c r="F273" t="s">
        <v>0</v>
      </c>
      <c r="G273">
        <v>4</v>
      </c>
      <c r="H273">
        <v>2004</v>
      </c>
      <c r="I273" t="s">
        <v>22</v>
      </c>
      <c r="J273" t="s">
        <v>55</v>
      </c>
      <c r="K273" t="s">
        <v>189</v>
      </c>
      <c r="L273" t="s">
        <v>190</v>
      </c>
      <c r="M273" t="s">
        <v>191</v>
      </c>
      <c r="N273" t="s">
        <v>181</v>
      </c>
      <c r="O273" t="s">
        <v>192</v>
      </c>
      <c r="P273" t="s">
        <v>5</v>
      </c>
      <c r="Q273" t="s">
        <v>6</v>
      </c>
      <c r="R273" t="s">
        <v>337</v>
      </c>
      <c r="S273" t="s">
        <v>7</v>
      </c>
      <c r="T273" t="s">
        <v>334</v>
      </c>
      <c r="U273">
        <f>Sales_Order[[#This Row],[Quantity ordered]]*Sales_Order[[#This Row],[Price each]]</f>
        <v>2905.98</v>
      </c>
    </row>
    <row r="274" spans="1:21" x14ac:dyDescent="0.3">
      <c r="A274">
        <v>10329</v>
      </c>
      <c r="B274">
        <v>29</v>
      </c>
      <c r="C274">
        <v>100</v>
      </c>
      <c r="D274">
        <v>9</v>
      </c>
      <c r="E274" s="1">
        <v>38306</v>
      </c>
      <c r="F274" t="s">
        <v>0</v>
      </c>
      <c r="G274">
        <v>4</v>
      </c>
      <c r="H274">
        <v>2004</v>
      </c>
      <c r="I274" t="s">
        <v>22</v>
      </c>
      <c r="J274" t="s">
        <v>55</v>
      </c>
      <c r="K274" t="s">
        <v>155</v>
      </c>
      <c r="L274" t="s">
        <v>156</v>
      </c>
      <c r="M274" t="s">
        <v>3</v>
      </c>
      <c r="N274" t="s">
        <v>4</v>
      </c>
      <c r="O274" t="s">
        <v>135</v>
      </c>
      <c r="P274" t="s">
        <v>5</v>
      </c>
      <c r="Q274" t="s">
        <v>6</v>
      </c>
      <c r="R274" t="s">
        <v>319</v>
      </c>
      <c r="S274" t="s">
        <v>7</v>
      </c>
      <c r="T274" t="s">
        <v>334</v>
      </c>
      <c r="U274">
        <f>Sales_Order[[#This Row],[Quantity ordered]]*Sales_Order[[#This Row],[Price each]]</f>
        <v>2900</v>
      </c>
    </row>
    <row r="275" spans="1:21" x14ac:dyDescent="0.3">
      <c r="A275">
        <v>10342</v>
      </c>
      <c r="B275">
        <v>55</v>
      </c>
      <c r="C275">
        <v>65.45</v>
      </c>
      <c r="D275">
        <v>1</v>
      </c>
      <c r="E275" s="1">
        <v>38315</v>
      </c>
      <c r="F275" t="s">
        <v>0</v>
      </c>
      <c r="G275">
        <v>4</v>
      </c>
      <c r="H275">
        <v>2004</v>
      </c>
      <c r="I275" t="s">
        <v>22</v>
      </c>
      <c r="J275" t="s">
        <v>55</v>
      </c>
      <c r="K275" t="s">
        <v>9</v>
      </c>
      <c r="L275" t="s">
        <v>10</v>
      </c>
      <c r="M275" t="s">
        <v>11</v>
      </c>
      <c r="N275" t="s">
        <v>12</v>
      </c>
      <c r="O275" t="s">
        <v>134</v>
      </c>
      <c r="P275" t="s">
        <v>13</v>
      </c>
      <c r="Q275" t="s">
        <v>14</v>
      </c>
      <c r="R275" t="s">
        <v>325</v>
      </c>
      <c r="S275" t="s">
        <v>8</v>
      </c>
      <c r="T275" t="s">
        <v>334</v>
      </c>
      <c r="U275">
        <f>Sales_Order[[#This Row],[Quantity ordered]]*Sales_Order[[#This Row],[Price each]]</f>
        <v>3599.75</v>
      </c>
    </row>
    <row r="276" spans="1:21" x14ac:dyDescent="0.3">
      <c r="A276">
        <v>10109</v>
      </c>
      <c r="B276">
        <v>38</v>
      </c>
      <c r="C276">
        <v>100</v>
      </c>
      <c r="D276">
        <v>3</v>
      </c>
      <c r="E276" s="1">
        <v>37897</v>
      </c>
      <c r="F276" t="s">
        <v>0</v>
      </c>
      <c r="G276">
        <v>1</v>
      </c>
      <c r="H276">
        <v>2003</v>
      </c>
      <c r="I276" t="s">
        <v>22</v>
      </c>
      <c r="J276" t="s">
        <v>56</v>
      </c>
      <c r="K276" t="s">
        <v>246</v>
      </c>
      <c r="L276" t="s">
        <v>247</v>
      </c>
      <c r="M276" t="s">
        <v>203</v>
      </c>
      <c r="N276" t="s">
        <v>186</v>
      </c>
      <c r="O276" t="s">
        <v>204</v>
      </c>
      <c r="P276" t="s">
        <v>5</v>
      </c>
      <c r="Q276" t="s">
        <v>6</v>
      </c>
      <c r="R276" t="s">
        <v>355</v>
      </c>
      <c r="S276" t="s">
        <v>8</v>
      </c>
      <c r="T276" t="s">
        <v>338</v>
      </c>
      <c r="U276">
        <f>Sales_Order[[#This Row],[Quantity ordered]]*Sales_Order[[#This Row],[Price each]]</f>
        <v>3800</v>
      </c>
    </row>
    <row r="277" spans="1:21" x14ac:dyDescent="0.3">
      <c r="A277">
        <v>10148</v>
      </c>
      <c r="B277">
        <v>25</v>
      </c>
      <c r="C277">
        <v>100</v>
      </c>
      <c r="D277">
        <v>12</v>
      </c>
      <c r="E277" s="1">
        <v>37934</v>
      </c>
      <c r="F277" t="s">
        <v>0</v>
      </c>
      <c r="G277">
        <v>3</v>
      </c>
      <c r="H277">
        <v>2003</v>
      </c>
      <c r="I277" t="s">
        <v>22</v>
      </c>
      <c r="J277" t="s">
        <v>56</v>
      </c>
      <c r="K277" t="s">
        <v>26</v>
      </c>
      <c r="L277" t="s">
        <v>27</v>
      </c>
      <c r="M277" t="s">
        <v>28</v>
      </c>
      <c r="N277" t="s">
        <v>21</v>
      </c>
      <c r="O277" t="s">
        <v>137</v>
      </c>
      <c r="P277" t="s">
        <v>13</v>
      </c>
      <c r="Q277" t="s">
        <v>14</v>
      </c>
      <c r="R277" t="s">
        <v>352</v>
      </c>
      <c r="S277" t="s">
        <v>8</v>
      </c>
      <c r="T277" t="s">
        <v>361</v>
      </c>
      <c r="U277">
        <f>Sales_Order[[#This Row],[Quantity ordered]]*Sales_Order[[#This Row],[Price each]]</f>
        <v>2500</v>
      </c>
    </row>
    <row r="278" spans="1:21" x14ac:dyDescent="0.3">
      <c r="A278">
        <v>10171</v>
      </c>
      <c r="B278">
        <v>35</v>
      </c>
      <c r="C278">
        <v>100</v>
      </c>
      <c r="D278">
        <v>1</v>
      </c>
      <c r="E278" s="1">
        <v>37752</v>
      </c>
      <c r="F278" t="s">
        <v>0</v>
      </c>
      <c r="G278">
        <v>4</v>
      </c>
      <c r="H278">
        <v>2003</v>
      </c>
      <c r="I278" t="s">
        <v>22</v>
      </c>
      <c r="J278" t="s">
        <v>56</v>
      </c>
      <c r="K278" t="s">
        <v>237</v>
      </c>
      <c r="L278" t="s">
        <v>238</v>
      </c>
      <c r="M278" t="s">
        <v>239</v>
      </c>
      <c r="N278" t="s">
        <v>240</v>
      </c>
      <c r="O278" t="s">
        <v>241</v>
      </c>
      <c r="P278" t="s">
        <v>210</v>
      </c>
      <c r="Q278" t="s">
        <v>6</v>
      </c>
      <c r="R278" t="s">
        <v>353</v>
      </c>
      <c r="S278" t="s">
        <v>8</v>
      </c>
      <c r="T278" t="s">
        <v>334</v>
      </c>
      <c r="U278">
        <f>Sales_Order[[#This Row],[Quantity ordered]]*Sales_Order[[#This Row],[Price each]]</f>
        <v>3500</v>
      </c>
    </row>
    <row r="279" spans="1:21" x14ac:dyDescent="0.3">
      <c r="A279">
        <v>10192</v>
      </c>
      <c r="B279">
        <v>47</v>
      </c>
      <c r="C279">
        <v>100</v>
      </c>
      <c r="D279">
        <v>10</v>
      </c>
      <c r="E279" s="1">
        <v>37945</v>
      </c>
      <c r="F279" t="s">
        <v>0</v>
      </c>
      <c r="G279">
        <v>4</v>
      </c>
      <c r="H279">
        <v>2003</v>
      </c>
      <c r="I279" t="s">
        <v>22</v>
      </c>
      <c r="J279" t="s">
        <v>56</v>
      </c>
      <c r="K279" t="s">
        <v>228</v>
      </c>
      <c r="L279" t="s">
        <v>229</v>
      </c>
      <c r="M279" t="s">
        <v>230</v>
      </c>
      <c r="N279" t="s">
        <v>231</v>
      </c>
      <c r="O279" t="s">
        <v>232</v>
      </c>
      <c r="P279" t="s">
        <v>5</v>
      </c>
      <c r="Q279" t="s">
        <v>6</v>
      </c>
      <c r="R279" t="s">
        <v>350</v>
      </c>
      <c r="S279" t="s">
        <v>17</v>
      </c>
      <c r="T279" t="s">
        <v>334</v>
      </c>
      <c r="U279">
        <f>Sales_Order[[#This Row],[Quantity ordered]]*Sales_Order[[#This Row],[Price each]]</f>
        <v>4700</v>
      </c>
    </row>
    <row r="280" spans="1:21" x14ac:dyDescent="0.3">
      <c r="A280">
        <v>10204</v>
      </c>
      <c r="B280">
        <v>38</v>
      </c>
      <c r="C280">
        <v>100</v>
      </c>
      <c r="D280">
        <v>16</v>
      </c>
      <c r="E280" s="1">
        <v>37664</v>
      </c>
      <c r="F280" t="s">
        <v>0</v>
      </c>
      <c r="G280">
        <v>4</v>
      </c>
      <c r="H280">
        <v>2003</v>
      </c>
      <c r="I280" t="s">
        <v>22</v>
      </c>
      <c r="J280" t="s">
        <v>56</v>
      </c>
      <c r="K280" t="s">
        <v>36</v>
      </c>
      <c r="L280" t="s">
        <v>37</v>
      </c>
      <c r="M280" t="s">
        <v>3</v>
      </c>
      <c r="N280" t="s">
        <v>4</v>
      </c>
      <c r="O280" t="s">
        <v>135</v>
      </c>
      <c r="P280" t="s">
        <v>5</v>
      </c>
      <c r="Q280" t="s">
        <v>6</v>
      </c>
      <c r="R280" t="s">
        <v>366</v>
      </c>
      <c r="S280" t="s">
        <v>8</v>
      </c>
      <c r="T280" t="s">
        <v>336</v>
      </c>
      <c r="U280">
        <f>Sales_Order[[#This Row],[Quantity ordered]]*Sales_Order[[#This Row],[Price each]]</f>
        <v>3800</v>
      </c>
    </row>
    <row r="281" spans="1:21" x14ac:dyDescent="0.3">
      <c r="A281">
        <v>10226</v>
      </c>
      <c r="B281">
        <v>24</v>
      </c>
      <c r="C281">
        <v>100</v>
      </c>
      <c r="D281">
        <v>7</v>
      </c>
      <c r="E281" s="1">
        <v>38043</v>
      </c>
      <c r="F281" t="s">
        <v>0</v>
      </c>
      <c r="G281">
        <v>1</v>
      </c>
      <c r="H281">
        <v>2004</v>
      </c>
      <c r="I281" t="s">
        <v>22</v>
      </c>
      <c r="J281" t="s">
        <v>56</v>
      </c>
      <c r="K281" t="s">
        <v>255</v>
      </c>
      <c r="L281" t="s">
        <v>256</v>
      </c>
      <c r="M281" t="s">
        <v>257</v>
      </c>
      <c r="N281" t="s">
        <v>161</v>
      </c>
      <c r="O281" t="s">
        <v>258</v>
      </c>
      <c r="P281" t="s">
        <v>5</v>
      </c>
      <c r="Q281" t="s">
        <v>6</v>
      </c>
      <c r="R281" t="s">
        <v>358</v>
      </c>
      <c r="S281" t="s">
        <v>8</v>
      </c>
      <c r="T281" t="s">
        <v>320</v>
      </c>
      <c r="U281">
        <f>Sales_Order[[#This Row],[Quantity ordered]]*Sales_Order[[#This Row],[Price each]]</f>
        <v>2400</v>
      </c>
    </row>
    <row r="282" spans="1:21" x14ac:dyDescent="0.3">
      <c r="A282">
        <v>10240</v>
      </c>
      <c r="B282">
        <v>37</v>
      </c>
      <c r="C282">
        <v>100</v>
      </c>
      <c r="D282">
        <v>2</v>
      </c>
      <c r="E282" s="1">
        <v>38090</v>
      </c>
      <c r="F282" t="s">
        <v>0</v>
      </c>
      <c r="G282">
        <v>2</v>
      </c>
      <c r="H282">
        <v>2004</v>
      </c>
      <c r="I282" t="s">
        <v>22</v>
      </c>
      <c r="J282" t="s">
        <v>56</v>
      </c>
      <c r="K282" t="s">
        <v>242</v>
      </c>
      <c r="L282" t="s">
        <v>243</v>
      </c>
      <c r="M282" t="s">
        <v>244</v>
      </c>
      <c r="N282" t="s">
        <v>244</v>
      </c>
      <c r="O282" t="s">
        <v>245</v>
      </c>
      <c r="P282" t="s">
        <v>195</v>
      </c>
      <c r="Q282" t="s">
        <v>195</v>
      </c>
      <c r="R282" t="s">
        <v>354</v>
      </c>
      <c r="S282" t="s">
        <v>8</v>
      </c>
      <c r="T282" t="s">
        <v>327</v>
      </c>
      <c r="U282">
        <f>Sales_Order[[#This Row],[Quantity ordered]]*Sales_Order[[#This Row],[Price each]]</f>
        <v>3700</v>
      </c>
    </row>
    <row r="283" spans="1:21" x14ac:dyDescent="0.3">
      <c r="A283">
        <v>10278</v>
      </c>
      <c r="B283">
        <v>29</v>
      </c>
      <c r="C283">
        <v>100</v>
      </c>
      <c r="D283">
        <v>5</v>
      </c>
      <c r="E283" s="1">
        <v>38146</v>
      </c>
      <c r="F283" t="s">
        <v>0</v>
      </c>
      <c r="G283">
        <v>3</v>
      </c>
      <c r="H283">
        <v>2004</v>
      </c>
      <c r="I283" t="s">
        <v>22</v>
      </c>
      <c r="J283" t="s">
        <v>56</v>
      </c>
      <c r="K283" t="s">
        <v>290</v>
      </c>
      <c r="L283" t="s">
        <v>291</v>
      </c>
      <c r="M283" t="s">
        <v>292</v>
      </c>
      <c r="N283" t="s">
        <v>293</v>
      </c>
      <c r="O283" t="s">
        <v>294</v>
      </c>
      <c r="P283" t="s">
        <v>5</v>
      </c>
      <c r="Q283" t="s">
        <v>6</v>
      </c>
      <c r="R283" t="s">
        <v>370</v>
      </c>
      <c r="S283" t="s">
        <v>8</v>
      </c>
      <c r="T283" t="s">
        <v>322</v>
      </c>
      <c r="U283">
        <f>Sales_Order[[#This Row],[Quantity ordered]]*Sales_Order[[#This Row],[Price each]]</f>
        <v>2900</v>
      </c>
    </row>
    <row r="284" spans="1:21" x14ac:dyDescent="0.3">
      <c r="A284">
        <v>10321</v>
      </c>
      <c r="B284">
        <v>25</v>
      </c>
      <c r="C284">
        <v>100</v>
      </c>
      <c r="D284">
        <v>9</v>
      </c>
      <c r="E284" s="1">
        <v>38088</v>
      </c>
      <c r="F284" t="s">
        <v>0</v>
      </c>
      <c r="G284">
        <v>4</v>
      </c>
      <c r="H284">
        <v>2004</v>
      </c>
      <c r="I284" t="s">
        <v>22</v>
      </c>
      <c r="J284" t="s">
        <v>56</v>
      </c>
      <c r="K284" t="s">
        <v>189</v>
      </c>
      <c r="L284" t="s">
        <v>190</v>
      </c>
      <c r="M284" t="s">
        <v>191</v>
      </c>
      <c r="N284" t="s">
        <v>181</v>
      </c>
      <c r="O284" t="s">
        <v>192</v>
      </c>
      <c r="P284" t="s">
        <v>5</v>
      </c>
      <c r="Q284" t="s">
        <v>6</v>
      </c>
      <c r="R284" t="s">
        <v>337</v>
      </c>
      <c r="S284" t="s">
        <v>8</v>
      </c>
      <c r="T284" t="s">
        <v>334</v>
      </c>
      <c r="U284">
        <f>Sales_Order[[#This Row],[Quantity ordered]]*Sales_Order[[#This Row],[Price each]]</f>
        <v>2500</v>
      </c>
    </row>
    <row r="285" spans="1:21" x14ac:dyDescent="0.3">
      <c r="A285">
        <v>10331</v>
      </c>
      <c r="B285">
        <v>30</v>
      </c>
      <c r="C285">
        <v>32.47</v>
      </c>
      <c r="D285">
        <v>8</v>
      </c>
      <c r="E285" s="1">
        <v>38308</v>
      </c>
      <c r="F285" t="s">
        <v>0</v>
      </c>
      <c r="G285">
        <v>4</v>
      </c>
      <c r="H285">
        <v>2004</v>
      </c>
      <c r="I285" t="s">
        <v>22</v>
      </c>
      <c r="J285" t="s">
        <v>56</v>
      </c>
      <c r="K285" t="s">
        <v>246</v>
      </c>
      <c r="L285" t="s">
        <v>247</v>
      </c>
      <c r="M285" t="s">
        <v>203</v>
      </c>
      <c r="N285" t="s">
        <v>186</v>
      </c>
      <c r="O285" t="s">
        <v>204</v>
      </c>
      <c r="P285" t="s">
        <v>5</v>
      </c>
      <c r="Q285" t="s">
        <v>6</v>
      </c>
      <c r="R285" t="s">
        <v>355</v>
      </c>
      <c r="S285" t="s">
        <v>7</v>
      </c>
      <c r="T285" t="s">
        <v>334</v>
      </c>
      <c r="U285">
        <f>Sales_Order[[#This Row],[Quantity ordered]]*Sales_Order[[#This Row],[Price each]]</f>
        <v>974.09999999999991</v>
      </c>
    </row>
    <row r="286" spans="1:21" x14ac:dyDescent="0.3">
      <c r="A286">
        <v>10342</v>
      </c>
      <c r="B286">
        <v>22</v>
      </c>
      <c r="C286">
        <v>100</v>
      </c>
      <c r="D286">
        <v>3</v>
      </c>
      <c r="E286" s="1">
        <v>38315</v>
      </c>
      <c r="F286" t="s">
        <v>0</v>
      </c>
      <c r="G286">
        <v>4</v>
      </c>
      <c r="H286">
        <v>2004</v>
      </c>
      <c r="I286" t="s">
        <v>22</v>
      </c>
      <c r="J286" t="s">
        <v>56</v>
      </c>
      <c r="K286" t="s">
        <v>9</v>
      </c>
      <c r="L286" t="s">
        <v>10</v>
      </c>
      <c r="M286" t="s">
        <v>11</v>
      </c>
      <c r="N286" t="s">
        <v>12</v>
      </c>
      <c r="O286" t="s">
        <v>134</v>
      </c>
      <c r="P286" t="s">
        <v>13</v>
      </c>
      <c r="Q286" t="s">
        <v>14</v>
      </c>
      <c r="R286" t="s">
        <v>325</v>
      </c>
      <c r="S286" t="s">
        <v>8</v>
      </c>
      <c r="T286" t="s">
        <v>334</v>
      </c>
      <c r="U286">
        <f>Sales_Order[[#This Row],[Quantity ordered]]*Sales_Order[[#This Row],[Price each]]</f>
        <v>2200</v>
      </c>
    </row>
    <row r="287" spans="1:21" x14ac:dyDescent="0.3">
      <c r="A287">
        <v>10390</v>
      </c>
      <c r="B287">
        <v>34</v>
      </c>
      <c r="C287">
        <v>43.05</v>
      </c>
      <c r="D287">
        <v>15</v>
      </c>
      <c r="E287" s="1">
        <v>38445</v>
      </c>
      <c r="F287" t="s">
        <v>0</v>
      </c>
      <c r="G287">
        <v>1</v>
      </c>
      <c r="H287">
        <v>2005</v>
      </c>
      <c r="I287" t="s">
        <v>22</v>
      </c>
      <c r="J287" t="s">
        <v>56</v>
      </c>
      <c r="K287" t="s">
        <v>225</v>
      </c>
      <c r="L287" t="s">
        <v>226</v>
      </c>
      <c r="M287" t="s">
        <v>227</v>
      </c>
      <c r="N287" t="s">
        <v>161</v>
      </c>
      <c r="O287" t="s">
        <v>177</v>
      </c>
      <c r="P287" t="s">
        <v>5</v>
      </c>
      <c r="Q287" t="s">
        <v>6</v>
      </c>
      <c r="R287" t="s">
        <v>349</v>
      </c>
      <c r="S287" t="s">
        <v>7</v>
      </c>
      <c r="T287" t="s">
        <v>338</v>
      </c>
      <c r="U287">
        <f>Sales_Order[[#This Row],[Quantity ordered]]*Sales_Order[[#This Row],[Price each]]</f>
        <v>1463.6999999999998</v>
      </c>
    </row>
    <row r="288" spans="1:21" x14ac:dyDescent="0.3">
      <c r="A288">
        <v>10115</v>
      </c>
      <c r="B288">
        <v>46</v>
      </c>
      <c r="C288">
        <v>100</v>
      </c>
      <c r="D288">
        <v>4</v>
      </c>
      <c r="E288" s="1">
        <v>37715</v>
      </c>
      <c r="F288" t="s">
        <v>0</v>
      </c>
      <c r="G288">
        <v>2</v>
      </c>
      <c r="H288">
        <v>2003</v>
      </c>
      <c r="I288" t="s">
        <v>22</v>
      </c>
      <c r="J288" t="s">
        <v>57</v>
      </c>
      <c r="K288" t="s">
        <v>24</v>
      </c>
      <c r="L288" t="s">
        <v>25</v>
      </c>
      <c r="M288" t="s">
        <v>3</v>
      </c>
      <c r="N288" t="s">
        <v>4</v>
      </c>
      <c r="O288" t="s">
        <v>135</v>
      </c>
      <c r="P288" t="s">
        <v>5</v>
      </c>
      <c r="Q288" t="s">
        <v>6</v>
      </c>
      <c r="R288" t="s">
        <v>340</v>
      </c>
      <c r="S288" t="s">
        <v>17</v>
      </c>
      <c r="T288" t="s">
        <v>327</v>
      </c>
      <c r="U288">
        <f>Sales_Order[[#This Row],[Quantity ordered]]*Sales_Order[[#This Row],[Price each]]</f>
        <v>4600</v>
      </c>
    </row>
    <row r="289" spans="1:21" x14ac:dyDescent="0.3">
      <c r="A289">
        <v>10127</v>
      </c>
      <c r="B289">
        <v>45</v>
      </c>
      <c r="C289">
        <v>100</v>
      </c>
      <c r="D289">
        <v>10</v>
      </c>
      <c r="E289" s="1">
        <v>37686</v>
      </c>
      <c r="F289" t="s">
        <v>0</v>
      </c>
      <c r="G289">
        <v>2</v>
      </c>
      <c r="H289">
        <v>2003</v>
      </c>
      <c r="I289" t="s">
        <v>22</v>
      </c>
      <c r="J289" t="s">
        <v>57</v>
      </c>
      <c r="K289" t="s">
        <v>36</v>
      </c>
      <c r="L289" t="s">
        <v>37</v>
      </c>
      <c r="M289" t="s">
        <v>3</v>
      </c>
      <c r="N289" t="s">
        <v>4</v>
      </c>
      <c r="O289" t="s">
        <v>135</v>
      </c>
      <c r="P289" t="s">
        <v>5</v>
      </c>
      <c r="Q289" t="s">
        <v>6</v>
      </c>
      <c r="R289" t="s">
        <v>366</v>
      </c>
      <c r="S289" t="s">
        <v>17</v>
      </c>
      <c r="T289" t="s">
        <v>331</v>
      </c>
      <c r="U289">
        <f>Sales_Order[[#This Row],[Quantity ordered]]*Sales_Order[[#This Row],[Price each]]</f>
        <v>4500</v>
      </c>
    </row>
    <row r="290" spans="1:21" x14ac:dyDescent="0.3">
      <c r="A290">
        <v>10195</v>
      </c>
      <c r="B290">
        <v>27</v>
      </c>
      <c r="C290">
        <v>100</v>
      </c>
      <c r="D290">
        <v>5</v>
      </c>
      <c r="E290" s="1">
        <v>37950</v>
      </c>
      <c r="F290" t="s">
        <v>0</v>
      </c>
      <c r="G290">
        <v>4</v>
      </c>
      <c r="H290">
        <v>2003</v>
      </c>
      <c r="I290" t="s">
        <v>22</v>
      </c>
      <c r="J290" t="s">
        <v>57</v>
      </c>
      <c r="K290" t="s">
        <v>248</v>
      </c>
      <c r="L290" t="s">
        <v>249</v>
      </c>
      <c r="M290" t="s">
        <v>250</v>
      </c>
      <c r="N290" t="s">
        <v>4</v>
      </c>
      <c r="O290" t="s">
        <v>251</v>
      </c>
      <c r="P290" t="s">
        <v>5</v>
      </c>
      <c r="Q290" t="s">
        <v>6</v>
      </c>
      <c r="R290" t="s">
        <v>356</v>
      </c>
      <c r="S290" t="s">
        <v>8</v>
      </c>
      <c r="T290" t="s">
        <v>334</v>
      </c>
      <c r="U290">
        <f>Sales_Order[[#This Row],[Quantity ordered]]*Sales_Order[[#This Row],[Price each]]</f>
        <v>2700</v>
      </c>
    </row>
    <row r="291" spans="1:21" x14ac:dyDescent="0.3">
      <c r="A291">
        <v>10207</v>
      </c>
      <c r="B291">
        <v>44</v>
      </c>
      <c r="C291">
        <v>100</v>
      </c>
      <c r="D291">
        <v>6</v>
      </c>
      <c r="E291" s="1">
        <v>37876</v>
      </c>
      <c r="F291" t="s">
        <v>0</v>
      </c>
      <c r="G291">
        <v>4</v>
      </c>
      <c r="H291">
        <v>2003</v>
      </c>
      <c r="I291" t="s">
        <v>22</v>
      </c>
      <c r="J291" t="s">
        <v>57</v>
      </c>
      <c r="K291" t="s">
        <v>277</v>
      </c>
      <c r="L291" t="s">
        <v>278</v>
      </c>
      <c r="M291" t="s">
        <v>265</v>
      </c>
      <c r="N291" t="s">
        <v>181</v>
      </c>
      <c r="O291" t="s">
        <v>266</v>
      </c>
      <c r="P291" t="s">
        <v>5</v>
      </c>
      <c r="Q291" t="s">
        <v>6</v>
      </c>
      <c r="R291" t="s">
        <v>364</v>
      </c>
      <c r="S291" t="s">
        <v>17</v>
      </c>
      <c r="T291" t="s">
        <v>336</v>
      </c>
      <c r="U291">
        <f>Sales_Order[[#This Row],[Quantity ordered]]*Sales_Order[[#This Row],[Price each]]</f>
        <v>4400</v>
      </c>
    </row>
    <row r="292" spans="1:21" x14ac:dyDescent="0.3">
      <c r="A292">
        <v>10219</v>
      </c>
      <c r="B292">
        <v>43</v>
      </c>
      <c r="C292">
        <v>100</v>
      </c>
      <c r="D292">
        <v>1</v>
      </c>
      <c r="E292" s="1">
        <v>38262</v>
      </c>
      <c r="F292" t="s">
        <v>0</v>
      </c>
      <c r="G292">
        <v>1</v>
      </c>
      <c r="H292">
        <v>2004</v>
      </c>
      <c r="I292" t="s">
        <v>22</v>
      </c>
      <c r="J292" t="s">
        <v>57</v>
      </c>
      <c r="K292" t="s">
        <v>286</v>
      </c>
      <c r="L292" t="s">
        <v>287</v>
      </c>
      <c r="M292" t="s">
        <v>288</v>
      </c>
      <c r="N292" t="s">
        <v>161</v>
      </c>
      <c r="O292" t="s">
        <v>166</v>
      </c>
      <c r="P292" t="s">
        <v>5</v>
      </c>
      <c r="Q292" t="s">
        <v>6</v>
      </c>
      <c r="R292" t="s">
        <v>369</v>
      </c>
      <c r="S292" t="s">
        <v>17</v>
      </c>
      <c r="T292" t="s">
        <v>320</v>
      </c>
      <c r="U292">
        <f>Sales_Order[[#This Row],[Quantity ordered]]*Sales_Order[[#This Row],[Price each]]</f>
        <v>4300</v>
      </c>
    </row>
    <row r="293" spans="1:21" x14ac:dyDescent="0.3">
      <c r="A293">
        <v>10271</v>
      </c>
      <c r="B293">
        <v>50</v>
      </c>
      <c r="C293">
        <v>100</v>
      </c>
      <c r="D293">
        <v>4</v>
      </c>
      <c r="E293" s="1">
        <v>38188</v>
      </c>
      <c r="F293" t="s">
        <v>0</v>
      </c>
      <c r="G293">
        <v>3</v>
      </c>
      <c r="H293">
        <v>2004</v>
      </c>
      <c r="I293" t="s">
        <v>22</v>
      </c>
      <c r="J293" t="s">
        <v>57</v>
      </c>
      <c r="K293" t="s">
        <v>225</v>
      </c>
      <c r="L293" t="s">
        <v>226</v>
      </c>
      <c r="M293" t="s">
        <v>227</v>
      </c>
      <c r="N293" t="s">
        <v>161</v>
      </c>
      <c r="O293" t="s">
        <v>177</v>
      </c>
      <c r="P293" t="s">
        <v>5</v>
      </c>
      <c r="Q293" t="s">
        <v>6</v>
      </c>
      <c r="R293" t="s">
        <v>349</v>
      </c>
      <c r="S293" t="s">
        <v>17</v>
      </c>
      <c r="T293" t="s">
        <v>339</v>
      </c>
      <c r="U293">
        <f>Sales_Order[[#This Row],[Quantity ordered]]*Sales_Order[[#This Row],[Price each]]</f>
        <v>5000</v>
      </c>
    </row>
    <row r="294" spans="1:21" x14ac:dyDescent="0.3">
      <c r="A294">
        <v>10282</v>
      </c>
      <c r="B294">
        <v>23</v>
      </c>
      <c r="C294">
        <v>100</v>
      </c>
      <c r="D294">
        <v>13</v>
      </c>
      <c r="E294" s="1">
        <v>38219</v>
      </c>
      <c r="F294" t="s">
        <v>0</v>
      </c>
      <c r="G294">
        <v>3</v>
      </c>
      <c r="H294">
        <v>2004</v>
      </c>
      <c r="I294" t="s">
        <v>22</v>
      </c>
      <c r="J294" t="s">
        <v>57</v>
      </c>
      <c r="K294" t="s">
        <v>225</v>
      </c>
      <c r="L294" t="s">
        <v>226</v>
      </c>
      <c r="M294" t="s">
        <v>227</v>
      </c>
      <c r="N294" t="s">
        <v>161</v>
      </c>
      <c r="O294" t="s">
        <v>177</v>
      </c>
      <c r="P294" t="s">
        <v>5</v>
      </c>
      <c r="Q294" t="s">
        <v>6</v>
      </c>
      <c r="R294" t="s">
        <v>349</v>
      </c>
      <c r="S294" t="s">
        <v>8</v>
      </c>
      <c r="T294" t="s">
        <v>322</v>
      </c>
      <c r="U294">
        <f>Sales_Order[[#This Row],[Quantity ordered]]*Sales_Order[[#This Row],[Price each]]</f>
        <v>2300</v>
      </c>
    </row>
    <row r="295" spans="1:21" x14ac:dyDescent="0.3">
      <c r="A295">
        <v>10292</v>
      </c>
      <c r="B295">
        <v>26</v>
      </c>
      <c r="C295">
        <v>100</v>
      </c>
      <c r="D295">
        <v>7</v>
      </c>
      <c r="E295" s="1">
        <v>38208</v>
      </c>
      <c r="F295" t="s">
        <v>0</v>
      </c>
      <c r="G295">
        <v>3</v>
      </c>
      <c r="H295">
        <v>2004</v>
      </c>
      <c r="I295" t="s">
        <v>22</v>
      </c>
      <c r="J295" t="s">
        <v>57</v>
      </c>
      <c r="K295" t="s">
        <v>155</v>
      </c>
      <c r="L295" t="s">
        <v>156</v>
      </c>
      <c r="M295" t="s">
        <v>3</v>
      </c>
      <c r="N295" t="s">
        <v>4</v>
      </c>
      <c r="O295" t="s">
        <v>135</v>
      </c>
      <c r="P295" t="s">
        <v>5</v>
      </c>
      <c r="Q295" t="s">
        <v>6</v>
      </c>
      <c r="R295" t="s">
        <v>319</v>
      </c>
      <c r="S295" t="s">
        <v>8</v>
      </c>
      <c r="T295" t="s">
        <v>361</v>
      </c>
      <c r="U295">
        <f>Sales_Order[[#This Row],[Quantity ordered]]*Sales_Order[[#This Row],[Price each]]</f>
        <v>2600</v>
      </c>
    </row>
    <row r="296" spans="1:21" x14ac:dyDescent="0.3">
      <c r="A296">
        <v>10305</v>
      </c>
      <c r="B296">
        <v>27</v>
      </c>
      <c r="C296">
        <v>100</v>
      </c>
      <c r="D296">
        <v>4</v>
      </c>
      <c r="E296" s="1">
        <v>38273</v>
      </c>
      <c r="F296" t="s">
        <v>0</v>
      </c>
      <c r="G296">
        <v>4</v>
      </c>
      <c r="H296">
        <v>2004</v>
      </c>
      <c r="I296" t="s">
        <v>22</v>
      </c>
      <c r="J296" t="s">
        <v>57</v>
      </c>
      <c r="K296" t="s">
        <v>178</v>
      </c>
      <c r="L296" t="s">
        <v>179</v>
      </c>
      <c r="M296" t="s">
        <v>180</v>
      </c>
      <c r="N296" t="s">
        <v>181</v>
      </c>
      <c r="O296" t="s">
        <v>182</v>
      </c>
      <c r="P296" t="s">
        <v>5</v>
      </c>
      <c r="Q296" t="s">
        <v>6</v>
      </c>
      <c r="R296" t="s">
        <v>332</v>
      </c>
      <c r="S296" t="s">
        <v>8</v>
      </c>
      <c r="T296" t="s">
        <v>324</v>
      </c>
      <c r="U296">
        <f>Sales_Order[[#This Row],[Quantity ordered]]*Sales_Order[[#This Row],[Price each]]</f>
        <v>2700</v>
      </c>
    </row>
    <row r="297" spans="1:21" x14ac:dyDescent="0.3">
      <c r="A297">
        <v>10324</v>
      </c>
      <c r="B297">
        <v>47</v>
      </c>
      <c r="C297">
        <v>100</v>
      </c>
      <c r="D297">
        <v>8</v>
      </c>
      <c r="E297" s="1">
        <v>38118</v>
      </c>
      <c r="F297" t="s">
        <v>0</v>
      </c>
      <c r="G297">
        <v>4</v>
      </c>
      <c r="H297">
        <v>2004</v>
      </c>
      <c r="I297" t="s">
        <v>22</v>
      </c>
      <c r="J297" t="s">
        <v>57</v>
      </c>
      <c r="K297" t="s">
        <v>15</v>
      </c>
      <c r="L297" t="s">
        <v>16</v>
      </c>
      <c r="M297" t="s">
        <v>3</v>
      </c>
      <c r="N297" t="s">
        <v>4</v>
      </c>
      <c r="O297" t="s">
        <v>135</v>
      </c>
      <c r="P297" t="s">
        <v>5</v>
      </c>
      <c r="Q297" t="s">
        <v>6</v>
      </c>
      <c r="R297" t="s">
        <v>326</v>
      </c>
      <c r="S297" t="s">
        <v>17</v>
      </c>
      <c r="T297" t="s">
        <v>334</v>
      </c>
      <c r="U297">
        <f>Sales_Order[[#This Row],[Quantity ordered]]*Sales_Order[[#This Row],[Price each]]</f>
        <v>4700</v>
      </c>
    </row>
    <row r="298" spans="1:21" x14ac:dyDescent="0.3">
      <c r="A298">
        <v>10349</v>
      </c>
      <c r="B298">
        <v>38</v>
      </c>
      <c r="C298">
        <v>100</v>
      </c>
      <c r="D298">
        <v>8</v>
      </c>
      <c r="E298" s="1">
        <v>37998</v>
      </c>
      <c r="F298" t="s">
        <v>0</v>
      </c>
      <c r="G298">
        <v>4</v>
      </c>
      <c r="H298">
        <v>2004</v>
      </c>
      <c r="I298" t="s">
        <v>22</v>
      </c>
      <c r="J298" t="s">
        <v>57</v>
      </c>
      <c r="K298" t="s">
        <v>36</v>
      </c>
      <c r="L298" t="s">
        <v>37</v>
      </c>
      <c r="M298" t="s">
        <v>3</v>
      </c>
      <c r="N298" t="s">
        <v>4</v>
      </c>
      <c r="O298" t="s">
        <v>135</v>
      </c>
      <c r="P298" t="s">
        <v>5</v>
      </c>
      <c r="Q298" t="s">
        <v>6</v>
      </c>
      <c r="R298" t="s">
        <v>366</v>
      </c>
      <c r="S298" t="s">
        <v>8</v>
      </c>
      <c r="T298" t="s">
        <v>336</v>
      </c>
      <c r="U298">
        <f>Sales_Order[[#This Row],[Quantity ordered]]*Sales_Order[[#This Row],[Price each]]</f>
        <v>3800</v>
      </c>
    </row>
    <row r="299" spans="1:21" x14ac:dyDescent="0.3">
      <c r="A299">
        <v>10371</v>
      </c>
      <c r="B299">
        <v>25</v>
      </c>
      <c r="C299">
        <v>100</v>
      </c>
      <c r="D299">
        <v>7</v>
      </c>
      <c r="E299" s="1">
        <v>38375</v>
      </c>
      <c r="F299" t="s">
        <v>0</v>
      </c>
      <c r="G299">
        <v>1</v>
      </c>
      <c r="H299">
        <v>2005</v>
      </c>
      <c r="I299" t="s">
        <v>22</v>
      </c>
      <c r="J299" t="s">
        <v>57</v>
      </c>
      <c r="K299" t="s">
        <v>225</v>
      </c>
      <c r="L299" t="s">
        <v>226</v>
      </c>
      <c r="M299" t="s">
        <v>227</v>
      </c>
      <c r="N299" t="s">
        <v>161</v>
      </c>
      <c r="O299" t="s">
        <v>177</v>
      </c>
      <c r="P299" t="s">
        <v>5</v>
      </c>
      <c r="Q299" t="s">
        <v>6</v>
      </c>
      <c r="R299" t="s">
        <v>349</v>
      </c>
      <c r="S299" t="s">
        <v>7</v>
      </c>
      <c r="T299" t="s">
        <v>345</v>
      </c>
      <c r="U299">
        <f>Sales_Order[[#This Row],[Quantity ordered]]*Sales_Order[[#This Row],[Price each]]</f>
        <v>2500</v>
      </c>
    </row>
    <row r="300" spans="1:21" x14ac:dyDescent="0.3">
      <c r="A300">
        <v>10382</v>
      </c>
      <c r="B300">
        <v>25</v>
      </c>
      <c r="C300">
        <v>88</v>
      </c>
      <c r="D300">
        <v>5</v>
      </c>
      <c r="E300" s="1">
        <v>38400</v>
      </c>
      <c r="F300" t="s">
        <v>0</v>
      </c>
      <c r="G300">
        <v>1</v>
      </c>
      <c r="H300">
        <v>2005</v>
      </c>
      <c r="I300" t="s">
        <v>22</v>
      </c>
      <c r="J300" t="s">
        <v>57</v>
      </c>
      <c r="K300" t="s">
        <v>225</v>
      </c>
      <c r="L300" t="s">
        <v>226</v>
      </c>
      <c r="M300" t="s">
        <v>227</v>
      </c>
      <c r="N300" t="s">
        <v>161</v>
      </c>
      <c r="O300" t="s">
        <v>177</v>
      </c>
      <c r="P300" t="s">
        <v>5</v>
      </c>
      <c r="Q300" t="s">
        <v>6</v>
      </c>
      <c r="R300" t="s">
        <v>349</v>
      </c>
      <c r="S300" t="s">
        <v>7</v>
      </c>
      <c r="T300" t="s">
        <v>320</v>
      </c>
      <c r="U300">
        <f>Sales_Order[[#This Row],[Quantity ordered]]*Sales_Order[[#This Row],[Price each]]</f>
        <v>2200</v>
      </c>
    </row>
    <row r="301" spans="1:21" x14ac:dyDescent="0.3">
      <c r="A301">
        <v>10100</v>
      </c>
      <c r="B301">
        <v>50</v>
      </c>
      <c r="C301">
        <v>67.8</v>
      </c>
      <c r="D301">
        <v>2</v>
      </c>
      <c r="E301" s="1">
        <v>37773</v>
      </c>
      <c r="F301" t="s">
        <v>0</v>
      </c>
      <c r="G301">
        <v>1</v>
      </c>
      <c r="H301">
        <v>2003</v>
      </c>
      <c r="I301" t="s">
        <v>49</v>
      </c>
      <c r="J301" t="s">
        <v>58</v>
      </c>
      <c r="K301" t="s">
        <v>228</v>
      </c>
      <c r="L301" t="s">
        <v>229</v>
      </c>
      <c r="M301" t="s">
        <v>230</v>
      </c>
      <c r="N301" t="s">
        <v>231</v>
      </c>
      <c r="O301" t="s">
        <v>232</v>
      </c>
      <c r="P301" t="s">
        <v>5</v>
      </c>
      <c r="Q301" t="s">
        <v>6</v>
      </c>
      <c r="R301" t="s">
        <v>350</v>
      </c>
      <c r="S301" t="s">
        <v>8</v>
      </c>
      <c r="T301" t="s">
        <v>345</v>
      </c>
      <c r="U301">
        <f>Sales_Order[[#This Row],[Quantity ordered]]*Sales_Order[[#This Row],[Price each]]</f>
        <v>3390</v>
      </c>
    </row>
    <row r="302" spans="1:21" x14ac:dyDescent="0.3">
      <c r="A302">
        <v>10124</v>
      </c>
      <c r="B302">
        <v>42</v>
      </c>
      <c r="C302">
        <v>53.88</v>
      </c>
      <c r="D302">
        <v>5</v>
      </c>
      <c r="E302" s="1">
        <v>37762</v>
      </c>
      <c r="F302" t="s">
        <v>0</v>
      </c>
      <c r="G302">
        <v>2</v>
      </c>
      <c r="H302">
        <v>2003</v>
      </c>
      <c r="I302" t="s">
        <v>49</v>
      </c>
      <c r="J302" t="s">
        <v>58</v>
      </c>
      <c r="K302" t="s">
        <v>290</v>
      </c>
      <c r="L302" t="s">
        <v>291</v>
      </c>
      <c r="M302" t="s">
        <v>292</v>
      </c>
      <c r="N302" t="s">
        <v>293</v>
      </c>
      <c r="O302" t="s">
        <v>294</v>
      </c>
      <c r="P302" t="s">
        <v>5</v>
      </c>
      <c r="Q302" t="s">
        <v>6</v>
      </c>
      <c r="R302" t="s">
        <v>370</v>
      </c>
      <c r="S302" t="s">
        <v>7</v>
      </c>
      <c r="T302" t="s">
        <v>329</v>
      </c>
      <c r="U302">
        <f>Sales_Order[[#This Row],[Quantity ordered]]*Sales_Order[[#This Row],[Price each]]</f>
        <v>2262.96</v>
      </c>
    </row>
    <row r="303" spans="1:21" x14ac:dyDescent="0.3">
      <c r="A303">
        <v>10149</v>
      </c>
      <c r="B303">
        <v>24</v>
      </c>
      <c r="C303">
        <v>62.36</v>
      </c>
      <c r="D303">
        <v>10</v>
      </c>
      <c r="E303" s="1">
        <v>37964</v>
      </c>
      <c r="F303" t="s">
        <v>0</v>
      </c>
      <c r="G303">
        <v>3</v>
      </c>
      <c r="H303">
        <v>2003</v>
      </c>
      <c r="I303" t="s">
        <v>49</v>
      </c>
      <c r="J303" t="s">
        <v>58</v>
      </c>
      <c r="K303" t="s">
        <v>286</v>
      </c>
      <c r="L303" t="s">
        <v>287</v>
      </c>
      <c r="M303" t="s">
        <v>288</v>
      </c>
      <c r="N303" t="s">
        <v>161</v>
      </c>
      <c r="O303" t="s">
        <v>166</v>
      </c>
      <c r="P303" t="s">
        <v>5</v>
      </c>
      <c r="Q303" t="s">
        <v>6</v>
      </c>
      <c r="R303" t="s">
        <v>369</v>
      </c>
      <c r="S303" t="s">
        <v>7</v>
      </c>
      <c r="T303" t="s">
        <v>361</v>
      </c>
      <c r="U303">
        <f>Sales_Order[[#This Row],[Quantity ordered]]*Sales_Order[[#This Row],[Price each]]</f>
        <v>1496.6399999999999</v>
      </c>
    </row>
    <row r="304" spans="1:21" x14ac:dyDescent="0.3">
      <c r="A304">
        <v>10182</v>
      </c>
      <c r="B304">
        <v>38</v>
      </c>
      <c r="C304">
        <v>61.15</v>
      </c>
      <c r="D304">
        <v>9</v>
      </c>
      <c r="E304" s="1">
        <v>37966</v>
      </c>
      <c r="F304" t="s">
        <v>0</v>
      </c>
      <c r="G304">
        <v>4</v>
      </c>
      <c r="H304">
        <v>2003</v>
      </c>
      <c r="I304" t="s">
        <v>49</v>
      </c>
      <c r="J304" t="s">
        <v>58</v>
      </c>
      <c r="K304" t="s">
        <v>225</v>
      </c>
      <c r="L304" t="s">
        <v>226</v>
      </c>
      <c r="M304" t="s">
        <v>227</v>
      </c>
      <c r="N304" t="s">
        <v>161</v>
      </c>
      <c r="O304" t="s">
        <v>177</v>
      </c>
      <c r="P304" t="s">
        <v>5</v>
      </c>
      <c r="Q304" t="s">
        <v>6</v>
      </c>
      <c r="R304" t="s">
        <v>349</v>
      </c>
      <c r="S304" t="s">
        <v>7</v>
      </c>
      <c r="T304" t="s">
        <v>334</v>
      </c>
      <c r="U304">
        <f>Sales_Order[[#This Row],[Quantity ordered]]*Sales_Order[[#This Row],[Price each]]</f>
        <v>2323.6999999999998</v>
      </c>
    </row>
    <row r="305" spans="1:21" x14ac:dyDescent="0.3">
      <c r="A305">
        <v>10193</v>
      </c>
      <c r="B305">
        <v>42</v>
      </c>
      <c r="C305">
        <v>59.33</v>
      </c>
      <c r="D305">
        <v>13</v>
      </c>
      <c r="E305" s="1">
        <v>37946</v>
      </c>
      <c r="F305" t="s">
        <v>0</v>
      </c>
      <c r="G305">
        <v>4</v>
      </c>
      <c r="H305">
        <v>2003</v>
      </c>
      <c r="I305" t="s">
        <v>49</v>
      </c>
      <c r="J305" t="s">
        <v>58</v>
      </c>
      <c r="K305" t="s">
        <v>296</v>
      </c>
      <c r="L305" t="s">
        <v>297</v>
      </c>
      <c r="M305" t="s">
        <v>298</v>
      </c>
      <c r="N305" t="s">
        <v>12</v>
      </c>
      <c r="O305" t="s">
        <v>299</v>
      </c>
      <c r="P305" t="s">
        <v>13</v>
      </c>
      <c r="Q305" t="s">
        <v>14</v>
      </c>
      <c r="R305" t="s">
        <v>371</v>
      </c>
      <c r="S305" t="s">
        <v>7</v>
      </c>
      <c r="T305" t="s">
        <v>334</v>
      </c>
      <c r="U305">
        <f>Sales_Order[[#This Row],[Quantity ordered]]*Sales_Order[[#This Row],[Price each]]</f>
        <v>2491.86</v>
      </c>
    </row>
    <row r="306" spans="1:21" x14ac:dyDescent="0.3">
      <c r="A306">
        <v>10204</v>
      </c>
      <c r="B306">
        <v>23</v>
      </c>
      <c r="C306">
        <v>71.44</v>
      </c>
      <c r="D306">
        <v>3</v>
      </c>
      <c r="E306" s="1">
        <v>37664</v>
      </c>
      <c r="F306" t="s">
        <v>0</v>
      </c>
      <c r="G306">
        <v>4</v>
      </c>
      <c r="H306">
        <v>2003</v>
      </c>
      <c r="I306" t="s">
        <v>49</v>
      </c>
      <c r="J306" t="s">
        <v>58</v>
      </c>
      <c r="K306" t="s">
        <v>36</v>
      </c>
      <c r="L306" t="s">
        <v>37</v>
      </c>
      <c r="M306" t="s">
        <v>3</v>
      </c>
      <c r="N306" t="s">
        <v>4</v>
      </c>
      <c r="O306" t="s">
        <v>135</v>
      </c>
      <c r="P306" t="s">
        <v>5</v>
      </c>
      <c r="Q306" t="s">
        <v>6</v>
      </c>
      <c r="R306" t="s">
        <v>366</v>
      </c>
      <c r="S306" t="s">
        <v>7</v>
      </c>
      <c r="T306" t="s">
        <v>336</v>
      </c>
      <c r="U306">
        <f>Sales_Order[[#This Row],[Quantity ordered]]*Sales_Order[[#This Row],[Price each]]</f>
        <v>1643.12</v>
      </c>
    </row>
    <row r="307" spans="1:21" x14ac:dyDescent="0.3">
      <c r="A307">
        <v>10312</v>
      </c>
      <c r="B307">
        <v>30</v>
      </c>
      <c r="C307">
        <v>61.15</v>
      </c>
      <c r="D307">
        <v>16</v>
      </c>
      <c r="E307" s="1">
        <v>38281</v>
      </c>
      <c r="F307" t="s">
        <v>0</v>
      </c>
      <c r="G307">
        <v>4</v>
      </c>
      <c r="H307">
        <v>2004</v>
      </c>
      <c r="I307" t="s">
        <v>49</v>
      </c>
      <c r="J307" t="s">
        <v>58</v>
      </c>
      <c r="K307" t="s">
        <v>225</v>
      </c>
      <c r="L307" t="s">
        <v>226</v>
      </c>
      <c r="M307" t="s">
        <v>227</v>
      </c>
      <c r="N307" t="s">
        <v>161</v>
      </c>
      <c r="O307" t="s">
        <v>177</v>
      </c>
      <c r="P307" t="s">
        <v>5</v>
      </c>
      <c r="Q307" t="s">
        <v>6</v>
      </c>
      <c r="R307" t="s">
        <v>349</v>
      </c>
      <c r="S307" t="s">
        <v>7</v>
      </c>
      <c r="T307" t="s">
        <v>324</v>
      </c>
      <c r="U307">
        <f>Sales_Order[[#This Row],[Quantity ordered]]*Sales_Order[[#This Row],[Price each]]</f>
        <v>1834.5</v>
      </c>
    </row>
    <row r="308" spans="1:21" x14ac:dyDescent="0.3">
      <c r="A308">
        <v>10367</v>
      </c>
      <c r="B308">
        <v>45</v>
      </c>
      <c r="C308">
        <v>100</v>
      </c>
      <c r="D308">
        <v>4</v>
      </c>
      <c r="E308" s="1">
        <v>38687</v>
      </c>
      <c r="F308" t="s">
        <v>276</v>
      </c>
      <c r="G308">
        <v>1</v>
      </c>
      <c r="H308">
        <v>2005</v>
      </c>
      <c r="I308" t="s">
        <v>49</v>
      </c>
      <c r="J308" t="s">
        <v>58</v>
      </c>
      <c r="K308" t="s">
        <v>158</v>
      </c>
      <c r="L308" t="s">
        <v>159</v>
      </c>
      <c r="M308" t="s">
        <v>160</v>
      </c>
      <c r="N308" t="s">
        <v>161</v>
      </c>
      <c r="O308" t="s">
        <v>162</v>
      </c>
      <c r="P308" t="s">
        <v>5</v>
      </c>
      <c r="Q308" t="s">
        <v>6</v>
      </c>
      <c r="R308" t="s">
        <v>321</v>
      </c>
      <c r="S308" t="s">
        <v>17</v>
      </c>
      <c r="T308" t="s">
        <v>345</v>
      </c>
      <c r="U308">
        <f>Sales_Order[[#This Row],[Quantity ordered]]*Sales_Order[[#This Row],[Price each]]</f>
        <v>4500</v>
      </c>
    </row>
    <row r="309" spans="1:21" x14ac:dyDescent="0.3">
      <c r="A309">
        <v>10407</v>
      </c>
      <c r="B309">
        <v>42</v>
      </c>
      <c r="C309">
        <v>72.650000000000006</v>
      </c>
      <c r="D309">
        <v>1</v>
      </c>
      <c r="E309" s="1">
        <v>38464</v>
      </c>
      <c r="F309" t="s">
        <v>275</v>
      </c>
      <c r="G309">
        <v>2</v>
      </c>
      <c r="H309">
        <v>2005</v>
      </c>
      <c r="I309" t="s">
        <v>49</v>
      </c>
      <c r="J309" t="s">
        <v>58</v>
      </c>
      <c r="K309" t="s">
        <v>272</v>
      </c>
      <c r="L309" t="s">
        <v>273</v>
      </c>
      <c r="M309" t="s">
        <v>274</v>
      </c>
      <c r="N309" t="s">
        <v>161</v>
      </c>
      <c r="O309" t="s">
        <v>166</v>
      </c>
      <c r="P309" t="s">
        <v>5</v>
      </c>
      <c r="Q309" t="s">
        <v>6</v>
      </c>
      <c r="R309" t="s">
        <v>363</v>
      </c>
      <c r="S309" t="s">
        <v>8</v>
      </c>
      <c r="T309" t="s">
        <v>327</v>
      </c>
      <c r="U309">
        <f>Sales_Order[[#This Row],[Quantity ordered]]*Sales_Order[[#This Row],[Price each]]</f>
        <v>3051.3</v>
      </c>
    </row>
    <row r="310" spans="1:21" x14ac:dyDescent="0.3">
      <c r="A310">
        <v>10420</v>
      </c>
      <c r="B310">
        <v>36</v>
      </c>
      <c r="C310">
        <v>63.57</v>
      </c>
      <c r="D310">
        <v>4</v>
      </c>
      <c r="E310" s="1">
        <v>38501</v>
      </c>
      <c r="F310" t="s">
        <v>29</v>
      </c>
      <c r="G310">
        <v>2</v>
      </c>
      <c r="H310">
        <v>2005</v>
      </c>
      <c r="I310" t="s">
        <v>49</v>
      </c>
      <c r="J310" t="s">
        <v>58</v>
      </c>
      <c r="K310" t="s">
        <v>18</v>
      </c>
      <c r="L310" t="s">
        <v>19</v>
      </c>
      <c r="M310" t="s">
        <v>20</v>
      </c>
      <c r="N310" t="s">
        <v>21</v>
      </c>
      <c r="O310" t="s">
        <v>136</v>
      </c>
      <c r="P310" t="s">
        <v>13</v>
      </c>
      <c r="Q310" t="s">
        <v>14</v>
      </c>
      <c r="R310" t="s">
        <v>335</v>
      </c>
      <c r="S310" t="s">
        <v>7</v>
      </c>
      <c r="T310" t="s">
        <v>329</v>
      </c>
      <c r="U310">
        <f>Sales_Order[[#This Row],[Quantity ordered]]*Sales_Order[[#This Row],[Price each]]</f>
        <v>2288.52</v>
      </c>
    </row>
    <row r="311" spans="1:21" x14ac:dyDescent="0.3">
      <c r="A311">
        <v>10127</v>
      </c>
      <c r="B311">
        <v>45</v>
      </c>
      <c r="C311">
        <v>100</v>
      </c>
      <c r="D311">
        <v>14</v>
      </c>
      <c r="E311" s="1">
        <v>37686</v>
      </c>
      <c r="F311" t="s">
        <v>0</v>
      </c>
      <c r="G311">
        <v>2</v>
      </c>
      <c r="H311">
        <v>2003</v>
      </c>
      <c r="I311" t="s">
        <v>38</v>
      </c>
      <c r="J311" t="s">
        <v>59</v>
      </c>
      <c r="K311" t="s">
        <v>36</v>
      </c>
      <c r="L311" t="s">
        <v>37</v>
      </c>
      <c r="M311" t="s">
        <v>3</v>
      </c>
      <c r="N311" t="s">
        <v>4</v>
      </c>
      <c r="O311" t="s">
        <v>135</v>
      </c>
      <c r="P311" t="s">
        <v>5</v>
      </c>
      <c r="Q311" t="s">
        <v>6</v>
      </c>
      <c r="R311" t="s">
        <v>366</v>
      </c>
      <c r="S311" t="s">
        <v>8</v>
      </c>
      <c r="T311" t="s">
        <v>331</v>
      </c>
      <c r="U311">
        <f>Sales_Order[[#This Row],[Quantity ordered]]*Sales_Order[[#This Row],[Price each]]</f>
        <v>4500</v>
      </c>
    </row>
    <row r="312" spans="1:21" x14ac:dyDescent="0.3">
      <c r="A312">
        <v>10195</v>
      </c>
      <c r="B312">
        <v>35</v>
      </c>
      <c r="C312">
        <v>100</v>
      </c>
      <c r="D312">
        <v>9</v>
      </c>
      <c r="E312" s="1">
        <v>37950</v>
      </c>
      <c r="F312" t="s">
        <v>0</v>
      </c>
      <c r="G312">
        <v>4</v>
      </c>
      <c r="H312">
        <v>2003</v>
      </c>
      <c r="I312" t="s">
        <v>38</v>
      </c>
      <c r="J312" t="s">
        <v>59</v>
      </c>
      <c r="K312" t="s">
        <v>248</v>
      </c>
      <c r="L312" t="s">
        <v>249</v>
      </c>
      <c r="M312" t="s">
        <v>250</v>
      </c>
      <c r="N312" t="s">
        <v>4</v>
      </c>
      <c r="O312" t="s">
        <v>251</v>
      </c>
      <c r="P312" t="s">
        <v>5</v>
      </c>
      <c r="Q312" t="s">
        <v>6</v>
      </c>
      <c r="R312" t="s">
        <v>356</v>
      </c>
      <c r="S312" t="s">
        <v>8</v>
      </c>
      <c r="T312" t="s">
        <v>334</v>
      </c>
      <c r="U312">
        <f>Sales_Order[[#This Row],[Quantity ordered]]*Sales_Order[[#This Row],[Price each]]</f>
        <v>3500</v>
      </c>
    </row>
    <row r="313" spans="1:21" x14ac:dyDescent="0.3">
      <c r="A313">
        <v>10207</v>
      </c>
      <c r="B313">
        <v>43</v>
      </c>
      <c r="C313">
        <v>100</v>
      </c>
      <c r="D313">
        <v>10</v>
      </c>
      <c r="E313" s="1">
        <v>37876</v>
      </c>
      <c r="F313" t="s">
        <v>0</v>
      </c>
      <c r="G313">
        <v>4</v>
      </c>
      <c r="H313">
        <v>2003</v>
      </c>
      <c r="I313" t="s">
        <v>38</v>
      </c>
      <c r="J313" t="s">
        <v>59</v>
      </c>
      <c r="K313" t="s">
        <v>277</v>
      </c>
      <c r="L313" t="s">
        <v>278</v>
      </c>
      <c r="M313" t="s">
        <v>265</v>
      </c>
      <c r="N313" t="s">
        <v>181</v>
      </c>
      <c r="O313" t="s">
        <v>266</v>
      </c>
      <c r="P313" t="s">
        <v>5</v>
      </c>
      <c r="Q313" t="s">
        <v>6</v>
      </c>
      <c r="R313" t="s">
        <v>364</v>
      </c>
      <c r="S313" t="s">
        <v>8</v>
      </c>
      <c r="T313" t="s">
        <v>336</v>
      </c>
      <c r="U313">
        <f>Sales_Order[[#This Row],[Quantity ordered]]*Sales_Order[[#This Row],[Price each]]</f>
        <v>4300</v>
      </c>
    </row>
    <row r="314" spans="1:21" x14ac:dyDescent="0.3">
      <c r="A314">
        <v>10229</v>
      </c>
      <c r="B314">
        <v>26</v>
      </c>
      <c r="C314">
        <v>100</v>
      </c>
      <c r="D314">
        <v>4</v>
      </c>
      <c r="E314" s="1">
        <v>38294</v>
      </c>
      <c r="F314" t="s">
        <v>0</v>
      </c>
      <c r="G314">
        <v>1</v>
      </c>
      <c r="H314">
        <v>2004</v>
      </c>
      <c r="I314" t="s">
        <v>38</v>
      </c>
      <c r="J314" t="s">
        <v>59</v>
      </c>
      <c r="K314" t="s">
        <v>225</v>
      </c>
      <c r="L314" t="s">
        <v>226</v>
      </c>
      <c r="M314" t="s">
        <v>227</v>
      </c>
      <c r="N314" t="s">
        <v>161</v>
      </c>
      <c r="O314" t="s">
        <v>177</v>
      </c>
      <c r="P314" t="s">
        <v>5</v>
      </c>
      <c r="Q314" t="s">
        <v>6</v>
      </c>
      <c r="R314" t="s">
        <v>349</v>
      </c>
      <c r="S314" t="s">
        <v>8</v>
      </c>
      <c r="T314" t="s">
        <v>338</v>
      </c>
      <c r="U314">
        <f>Sales_Order[[#This Row],[Quantity ordered]]*Sales_Order[[#This Row],[Price each]]</f>
        <v>2600</v>
      </c>
    </row>
    <row r="315" spans="1:21" x14ac:dyDescent="0.3">
      <c r="A315">
        <v>10271</v>
      </c>
      <c r="B315">
        <v>50</v>
      </c>
      <c r="C315">
        <v>100</v>
      </c>
      <c r="D315">
        <v>8</v>
      </c>
      <c r="E315" s="1">
        <v>38188</v>
      </c>
      <c r="F315" t="s">
        <v>0</v>
      </c>
      <c r="G315">
        <v>3</v>
      </c>
      <c r="H315">
        <v>2004</v>
      </c>
      <c r="I315" t="s">
        <v>38</v>
      </c>
      <c r="J315" t="s">
        <v>59</v>
      </c>
      <c r="K315" t="s">
        <v>225</v>
      </c>
      <c r="L315" t="s">
        <v>226</v>
      </c>
      <c r="M315" t="s">
        <v>227</v>
      </c>
      <c r="N315" t="s">
        <v>161</v>
      </c>
      <c r="O315" t="s">
        <v>177</v>
      </c>
      <c r="P315" t="s">
        <v>5</v>
      </c>
      <c r="Q315" t="s">
        <v>6</v>
      </c>
      <c r="R315" t="s">
        <v>349</v>
      </c>
      <c r="S315" t="s">
        <v>8</v>
      </c>
      <c r="T315" t="s">
        <v>339</v>
      </c>
      <c r="U315">
        <f>Sales_Order[[#This Row],[Quantity ordered]]*Sales_Order[[#This Row],[Price each]]</f>
        <v>5000</v>
      </c>
    </row>
    <row r="316" spans="1:21" x14ac:dyDescent="0.3">
      <c r="A316">
        <v>10281</v>
      </c>
      <c r="B316">
        <v>48</v>
      </c>
      <c r="C316">
        <v>100</v>
      </c>
      <c r="D316">
        <v>4</v>
      </c>
      <c r="E316" s="1">
        <v>38218</v>
      </c>
      <c r="F316" t="s">
        <v>0</v>
      </c>
      <c r="G316">
        <v>3</v>
      </c>
      <c r="H316">
        <v>2004</v>
      </c>
      <c r="I316" t="s">
        <v>38</v>
      </c>
      <c r="J316" t="s">
        <v>59</v>
      </c>
      <c r="K316" t="s">
        <v>183</v>
      </c>
      <c r="L316" t="s">
        <v>184</v>
      </c>
      <c r="M316" t="s">
        <v>185</v>
      </c>
      <c r="N316" t="s">
        <v>186</v>
      </c>
      <c r="O316" t="s">
        <v>187</v>
      </c>
      <c r="P316" t="s">
        <v>5</v>
      </c>
      <c r="Q316" t="s">
        <v>6</v>
      </c>
      <c r="R316" t="s">
        <v>333</v>
      </c>
      <c r="S316" t="s">
        <v>8</v>
      </c>
      <c r="T316" t="s">
        <v>322</v>
      </c>
      <c r="U316">
        <f>Sales_Order[[#This Row],[Quantity ordered]]*Sales_Order[[#This Row],[Price each]]</f>
        <v>4800</v>
      </c>
    </row>
    <row r="317" spans="1:21" x14ac:dyDescent="0.3">
      <c r="A317">
        <v>10292</v>
      </c>
      <c r="B317">
        <v>41</v>
      </c>
      <c r="C317">
        <v>100</v>
      </c>
      <c r="D317">
        <v>11</v>
      </c>
      <c r="E317" s="1">
        <v>38208</v>
      </c>
      <c r="F317" t="s">
        <v>0</v>
      </c>
      <c r="G317">
        <v>3</v>
      </c>
      <c r="H317">
        <v>2004</v>
      </c>
      <c r="I317" t="s">
        <v>38</v>
      </c>
      <c r="J317" t="s">
        <v>59</v>
      </c>
      <c r="K317" t="s">
        <v>155</v>
      </c>
      <c r="L317" t="s">
        <v>156</v>
      </c>
      <c r="M317" t="s">
        <v>3</v>
      </c>
      <c r="N317" t="s">
        <v>4</v>
      </c>
      <c r="O317" t="s">
        <v>135</v>
      </c>
      <c r="P317" t="s">
        <v>5</v>
      </c>
      <c r="Q317" t="s">
        <v>6</v>
      </c>
      <c r="R317" t="s">
        <v>319</v>
      </c>
      <c r="S317" t="s">
        <v>8</v>
      </c>
      <c r="T317" t="s">
        <v>361</v>
      </c>
      <c r="U317">
        <f>Sales_Order[[#This Row],[Quantity ordered]]*Sales_Order[[#This Row],[Price each]]</f>
        <v>4100</v>
      </c>
    </row>
    <row r="318" spans="1:21" x14ac:dyDescent="0.3">
      <c r="A318">
        <v>10305</v>
      </c>
      <c r="B318">
        <v>36</v>
      </c>
      <c r="C318">
        <v>100</v>
      </c>
      <c r="D318">
        <v>8</v>
      </c>
      <c r="E318" s="1">
        <v>38273</v>
      </c>
      <c r="F318" t="s">
        <v>0</v>
      </c>
      <c r="G318">
        <v>4</v>
      </c>
      <c r="H318">
        <v>2004</v>
      </c>
      <c r="I318" t="s">
        <v>38</v>
      </c>
      <c r="J318" t="s">
        <v>59</v>
      </c>
      <c r="K318" t="s">
        <v>178</v>
      </c>
      <c r="L318" t="s">
        <v>179</v>
      </c>
      <c r="M318" t="s">
        <v>180</v>
      </c>
      <c r="N318" t="s">
        <v>181</v>
      </c>
      <c r="O318" t="s">
        <v>182</v>
      </c>
      <c r="P318" t="s">
        <v>5</v>
      </c>
      <c r="Q318" t="s">
        <v>6</v>
      </c>
      <c r="R318" t="s">
        <v>332</v>
      </c>
      <c r="S318" t="s">
        <v>8</v>
      </c>
      <c r="T318" t="s">
        <v>324</v>
      </c>
      <c r="U318">
        <f>Sales_Order[[#This Row],[Quantity ordered]]*Sales_Order[[#This Row],[Price each]]</f>
        <v>3600</v>
      </c>
    </row>
    <row r="319" spans="1:21" x14ac:dyDescent="0.3">
      <c r="A319">
        <v>10313</v>
      </c>
      <c r="B319">
        <v>29</v>
      </c>
      <c r="C319">
        <v>100</v>
      </c>
      <c r="D319">
        <v>2</v>
      </c>
      <c r="E319" s="1">
        <v>38282</v>
      </c>
      <c r="F319" t="s">
        <v>0</v>
      </c>
      <c r="G319">
        <v>4</v>
      </c>
      <c r="H319">
        <v>2004</v>
      </c>
      <c r="I319" t="s">
        <v>38</v>
      </c>
      <c r="J319" t="s">
        <v>59</v>
      </c>
      <c r="K319" t="s">
        <v>205</v>
      </c>
      <c r="L319" t="s">
        <v>206</v>
      </c>
      <c r="M319" t="s">
        <v>207</v>
      </c>
      <c r="N319" t="s">
        <v>208</v>
      </c>
      <c r="O319" t="s">
        <v>209</v>
      </c>
      <c r="P319" t="s">
        <v>210</v>
      </c>
      <c r="Q319" t="s">
        <v>6</v>
      </c>
      <c r="R319" t="s">
        <v>343</v>
      </c>
      <c r="S319" t="s">
        <v>8</v>
      </c>
      <c r="T319" t="s">
        <v>324</v>
      </c>
      <c r="U319">
        <f>Sales_Order[[#This Row],[Quantity ordered]]*Sales_Order[[#This Row],[Price each]]</f>
        <v>2900</v>
      </c>
    </row>
    <row r="320" spans="1:21" x14ac:dyDescent="0.3">
      <c r="A320">
        <v>10324</v>
      </c>
      <c r="B320">
        <v>33</v>
      </c>
      <c r="C320">
        <v>37.479999999999997</v>
      </c>
      <c r="D320">
        <v>10</v>
      </c>
      <c r="E320" s="1">
        <v>38118</v>
      </c>
      <c r="F320" t="s">
        <v>0</v>
      </c>
      <c r="G320">
        <v>4</v>
      </c>
      <c r="H320">
        <v>2004</v>
      </c>
      <c r="I320" t="s">
        <v>38</v>
      </c>
      <c r="J320" t="s">
        <v>59</v>
      </c>
      <c r="K320" t="s">
        <v>15</v>
      </c>
      <c r="L320" t="s">
        <v>16</v>
      </c>
      <c r="M320" t="s">
        <v>3</v>
      </c>
      <c r="N320" t="s">
        <v>4</v>
      </c>
      <c r="O320" t="s">
        <v>135</v>
      </c>
      <c r="P320" t="s">
        <v>5</v>
      </c>
      <c r="Q320" t="s">
        <v>6</v>
      </c>
      <c r="R320" t="s">
        <v>326</v>
      </c>
      <c r="S320" t="s">
        <v>7</v>
      </c>
      <c r="T320" t="s">
        <v>334</v>
      </c>
      <c r="U320">
        <f>Sales_Order[[#This Row],[Quantity ordered]]*Sales_Order[[#This Row],[Price each]]</f>
        <v>1236.8399999999999</v>
      </c>
    </row>
    <row r="321" spans="1:21" x14ac:dyDescent="0.3">
      <c r="A321">
        <v>10349</v>
      </c>
      <c r="B321">
        <v>38</v>
      </c>
      <c r="C321">
        <v>100</v>
      </c>
      <c r="D321">
        <v>7</v>
      </c>
      <c r="E321" s="1">
        <v>37998</v>
      </c>
      <c r="F321" t="s">
        <v>0</v>
      </c>
      <c r="G321">
        <v>4</v>
      </c>
      <c r="H321">
        <v>2004</v>
      </c>
      <c r="I321" t="s">
        <v>38</v>
      </c>
      <c r="J321" t="s">
        <v>59</v>
      </c>
      <c r="K321" t="s">
        <v>36</v>
      </c>
      <c r="L321" t="s">
        <v>37</v>
      </c>
      <c r="M321" t="s">
        <v>3</v>
      </c>
      <c r="N321" t="s">
        <v>4</v>
      </c>
      <c r="O321" t="s">
        <v>135</v>
      </c>
      <c r="P321" t="s">
        <v>5</v>
      </c>
      <c r="Q321" t="s">
        <v>6</v>
      </c>
      <c r="R321" t="s">
        <v>366</v>
      </c>
      <c r="S321" t="s">
        <v>8</v>
      </c>
      <c r="T321" t="s">
        <v>336</v>
      </c>
      <c r="U321">
        <f>Sales_Order[[#This Row],[Quantity ordered]]*Sales_Order[[#This Row],[Price each]]</f>
        <v>3800</v>
      </c>
    </row>
    <row r="322" spans="1:21" x14ac:dyDescent="0.3">
      <c r="A322">
        <v>10370</v>
      </c>
      <c r="B322">
        <v>22</v>
      </c>
      <c r="C322">
        <v>100</v>
      </c>
      <c r="D322">
        <v>5</v>
      </c>
      <c r="E322" s="1">
        <v>38372</v>
      </c>
      <c r="F322" t="s">
        <v>0</v>
      </c>
      <c r="G322">
        <v>1</v>
      </c>
      <c r="H322">
        <v>2005</v>
      </c>
      <c r="I322" t="s">
        <v>38</v>
      </c>
      <c r="J322" t="s">
        <v>59</v>
      </c>
      <c r="K322" t="s">
        <v>26</v>
      </c>
      <c r="L322" t="s">
        <v>27</v>
      </c>
      <c r="M322" t="s">
        <v>28</v>
      </c>
      <c r="N322" t="s">
        <v>21</v>
      </c>
      <c r="O322" t="s">
        <v>137</v>
      </c>
      <c r="P322" t="s">
        <v>13</v>
      </c>
      <c r="Q322" t="s">
        <v>14</v>
      </c>
      <c r="R322" t="s">
        <v>352</v>
      </c>
      <c r="S322" t="s">
        <v>8</v>
      </c>
      <c r="T322" t="s">
        <v>345</v>
      </c>
      <c r="U322">
        <f>Sales_Order[[#This Row],[Quantity ordered]]*Sales_Order[[#This Row],[Price each]]</f>
        <v>2200</v>
      </c>
    </row>
    <row r="323" spans="1:21" x14ac:dyDescent="0.3">
      <c r="A323">
        <v>10124</v>
      </c>
      <c r="B323">
        <v>42</v>
      </c>
      <c r="C323">
        <v>100</v>
      </c>
      <c r="D323">
        <v>3</v>
      </c>
      <c r="E323" s="1">
        <v>37762</v>
      </c>
      <c r="F323" t="s">
        <v>0</v>
      </c>
      <c r="G323">
        <v>2</v>
      </c>
      <c r="H323">
        <v>2003</v>
      </c>
      <c r="I323" t="s">
        <v>49</v>
      </c>
      <c r="J323" t="s">
        <v>60</v>
      </c>
      <c r="K323" t="s">
        <v>290</v>
      </c>
      <c r="L323" t="s">
        <v>291</v>
      </c>
      <c r="M323" t="s">
        <v>292</v>
      </c>
      <c r="N323" t="s">
        <v>293</v>
      </c>
      <c r="O323" t="s">
        <v>294</v>
      </c>
      <c r="P323" t="s">
        <v>5</v>
      </c>
      <c r="Q323" t="s">
        <v>6</v>
      </c>
      <c r="R323" t="s">
        <v>370</v>
      </c>
      <c r="S323" t="s">
        <v>8</v>
      </c>
      <c r="T323" t="s">
        <v>329</v>
      </c>
      <c r="U323">
        <f>Sales_Order[[#This Row],[Quantity ordered]]*Sales_Order[[#This Row],[Price each]]</f>
        <v>4200</v>
      </c>
    </row>
    <row r="324" spans="1:21" x14ac:dyDescent="0.3">
      <c r="A324">
        <v>10149</v>
      </c>
      <c r="B324">
        <v>33</v>
      </c>
      <c r="C324">
        <v>100</v>
      </c>
      <c r="D324">
        <v>8</v>
      </c>
      <c r="E324" s="1">
        <v>37964</v>
      </c>
      <c r="F324" t="s">
        <v>0</v>
      </c>
      <c r="G324">
        <v>3</v>
      </c>
      <c r="H324">
        <v>2003</v>
      </c>
      <c r="I324" t="s">
        <v>49</v>
      </c>
      <c r="J324" t="s">
        <v>60</v>
      </c>
      <c r="K324" t="s">
        <v>286</v>
      </c>
      <c r="L324" t="s">
        <v>287</v>
      </c>
      <c r="M324" t="s">
        <v>288</v>
      </c>
      <c r="N324" t="s">
        <v>161</v>
      </c>
      <c r="O324" t="s">
        <v>166</v>
      </c>
      <c r="P324" t="s">
        <v>5</v>
      </c>
      <c r="Q324" t="s">
        <v>6</v>
      </c>
      <c r="R324" t="s">
        <v>369</v>
      </c>
      <c r="S324" t="s">
        <v>8</v>
      </c>
      <c r="T324" t="s">
        <v>361</v>
      </c>
      <c r="U324">
        <f>Sales_Order[[#This Row],[Quantity ordered]]*Sales_Order[[#This Row],[Price each]]</f>
        <v>3300</v>
      </c>
    </row>
    <row r="325" spans="1:21" x14ac:dyDescent="0.3">
      <c r="A325">
        <v>10182</v>
      </c>
      <c r="B325">
        <v>20</v>
      </c>
      <c r="C325">
        <v>100</v>
      </c>
      <c r="D325">
        <v>7</v>
      </c>
      <c r="E325" s="1">
        <v>37966</v>
      </c>
      <c r="F325" t="s">
        <v>0</v>
      </c>
      <c r="G325">
        <v>4</v>
      </c>
      <c r="H325">
        <v>2003</v>
      </c>
      <c r="I325" t="s">
        <v>49</v>
      </c>
      <c r="J325" t="s">
        <v>60</v>
      </c>
      <c r="K325" t="s">
        <v>225</v>
      </c>
      <c r="L325" t="s">
        <v>226</v>
      </c>
      <c r="M325" t="s">
        <v>227</v>
      </c>
      <c r="N325" t="s">
        <v>161</v>
      </c>
      <c r="O325" t="s">
        <v>177</v>
      </c>
      <c r="P325" t="s">
        <v>5</v>
      </c>
      <c r="Q325" t="s">
        <v>6</v>
      </c>
      <c r="R325" t="s">
        <v>349</v>
      </c>
      <c r="S325" t="s">
        <v>7</v>
      </c>
      <c r="T325" t="s">
        <v>334</v>
      </c>
      <c r="U325">
        <f>Sales_Order[[#This Row],[Quantity ordered]]*Sales_Order[[#This Row],[Price each]]</f>
        <v>2000</v>
      </c>
    </row>
    <row r="326" spans="1:21" x14ac:dyDescent="0.3">
      <c r="A326">
        <v>10193</v>
      </c>
      <c r="B326">
        <v>44</v>
      </c>
      <c r="C326">
        <v>100</v>
      </c>
      <c r="D326">
        <v>11</v>
      </c>
      <c r="E326" s="1">
        <v>37946</v>
      </c>
      <c r="F326" t="s">
        <v>0</v>
      </c>
      <c r="G326">
        <v>4</v>
      </c>
      <c r="H326">
        <v>2003</v>
      </c>
      <c r="I326" t="s">
        <v>49</v>
      </c>
      <c r="J326" t="s">
        <v>60</v>
      </c>
      <c r="K326" t="s">
        <v>296</v>
      </c>
      <c r="L326" t="s">
        <v>297</v>
      </c>
      <c r="M326" t="s">
        <v>298</v>
      </c>
      <c r="N326" t="s">
        <v>12</v>
      </c>
      <c r="O326" t="s">
        <v>299</v>
      </c>
      <c r="P326" t="s">
        <v>13</v>
      </c>
      <c r="Q326" t="s">
        <v>14</v>
      </c>
      <c r="R326" t="s">
        <v>371</v>
      </c>
      <c r="S326" t="s">
        <v>8</v>
      </c>
      <c r="T326" t="s">
        <v>334</v>
      </c>
      <c r="U326">
        <f>Sales_Order[[#This Row],[Quantity ordered]]*Sales_Order[[#This Row],[Price each]]</f>
        <v>4400</v>
      </c>
    </row>
    <row r="327" spans="1:21" x14ac:dyDescent="0.3">
      <c r="A327">
        <v>10204</v>
      </c>
      <c r="B327">
        <v>26</v>
      </c>
      <c r="C327">
        <v>100</v>
      </c>
      <c r="D327">
        <v>1</v>
      </c>
      <c r="E327" s="1">
        <v>37664</v>
      </c>
      <c r="F327" t="s">
        <v>0</v>
      </c>
      <c r="G327">
        <v>4</v>
      </c>
      <c r="H327">
        <v>2003</v>
      </c>
      <c r="I327" t="s">
        <v>49</v>
      </c>
      <c r="J327" t="s">
        <v>60</v>
      </c>
      <c r="K327" t="s">
        <v>36</v>
      </c>
      <c r="L327" t="s">
        <v>37</v>
      </c>
      <c r="M327" t="s">
        <v>3</v>
      </c>
      <c r="N327" t="s">
        <v>4</v>
      </c>
      <c r="O327" t="s">
        <v>135</v>
      </c>
      <c r="P327" t="s">
        <v>5</v>
      </c>
      <c r="Q327" t="s">
        <v>6</v>
      </c>
      <c r="R327" t="s">
        <v>366</v>
      </c>
      <c r="S327" t="s">
        <v>8</v>
      </c>
      <c r="T327" t="s">
        <v>336</v>
      </c>
      <c r="U327">
        <f>Sales_Order[[#This Row],[Quantity ordered]]*Sales_Order[[#This Row],[Price each]]</f>
        <v>2600</v>
      </c>
    </row>
    <row r="328" spans="1:21" x14ac:dyDescent="0.3">
      <c r="A328">
        <v>10243</v>
      </c>
      <c r="B328">
        <v>47</v>
      </c>
      <c r="C328">
        <v>100</v>
      </c>
      <c r="D328">
        <v>2</v>
      </c>
      <c r="E328" s="1">
        <v>38103</v>
      </c>
      <c r="F328" t="s">
        <v>0</v>
      </c>
      <c r="G328">
        <v>2</v>
      </c>
      <c r="H328">
        <v>2004</v>
      </c>
      <c r="I328" t="s">
        <v>49</v>
      </c>
      <c r="J328" t="s">
        <v>60</v>
      </c>
      <c r="K328" t="s">
        <v>277</v>
      </c>
      <c r="L328" t="s">
        <v>278</v>
      </c>
      <c r="M328" t="s">
        <v>265</v>
      </c>
      <c r="N328" t="s">
        <v>181</v>
      </c>
      <c r="O328" t="s">
        <v>266</v>
      </c>
      <c r="P328" t="s">
        <v>5</v>
      </c>
      <c r="Q328" t="s">
        <v>6</v>
      </c>
      <c r="R328" t="s">
        <v>364</v>
      </c>
      <c r="S328" t="s">
        <v>8</v>
      </c>
      <c r="T328" t="s">
        <v>327</v>
      </c>
      <c r="U328">
        <f>Sales_Order[[#This Row],[Quantity ordered]]*Sales_Order[[#This Row],[Price each]]</f>
        <v>4700</v>
      </c>
    </row>
    <row r="329" spans="1:21" x14ac:dyDescent="0.3">
      <c r="A329">
        <v>10312</v>
      </c>
      <c r="B329">
        <v>31</v>
      </c>
      <c r="C329">
        <v>100</v>
      </c>
      <c r="D329">
        <v>14</v>
      </c>
      <c r="E329" s="1">
        <v>38281</v>
      </c>
      <c r="F329" t="s">
        <v>0</v>
      </c>
      <c r="G329">
        <v>4</v>
      </c>
      <c r="H329">
        <v>2004</v>
      </c>
      <c r="I329" t="s">
        <v>49</v>
      </c>
      <c r="J329" t="s">
        <v>60</v>
      </c>
      <c r="K329" t="s">
        <v>225</v>
      </c>
      <c r="L329" t="s">
        <v>226</v>
      </c>
      <c r="M329" t="s">
        <v>227</v>
      </c>
      <c r="N329" t="s">
        <v>161</v>
      </c>
      <c r="O329" t="s">
        <v>177</v>
      </c>
      <c r="P329" t="s">
        <v>5</v>
      </c>
      <c r="Q329" t="s">
        <v>6</v>
      </c>
      <c r="R329" t="s">
        <v>349</v>
      </c>
      <c r="S329" t="s">
        <v>8</v>
      </c>
      <c r="T329" t="s">
        <v>324</v>
      </c>
      <c r="U329">
        <f>Sales_Order[[#This Row],[Quantity ordered]]*Sales_Order[[#This Row],[Price each]]</f>
        <v>3100</v>
      </c>
    </row>
    <row r="330" spans="1:21" x14ac:dyDescent="0.3">
      <c r="A330">
        <v>10322</v>
      </c>
      <c r="B330">
        <v>50</v>
      </c>
      <c r="C330">
        <v>100</v>
      </c>
      <c r="D330">
        <v>6</v>
      </c>
      <c r="E330" s="1">
        <v>38088</v>
      </c>
      <c r="F330" t="s">
        <v>0</v>
      </c>
      <c r="G330">
        <v>4</v>
      </c>
      <c r="H330">
        <v>2004</v>
      </c>
      <c r="I330" t="s">
        <v>49</v>
      </c>
      <c r="J330" t="s">
        <v>60</v>
      </c>
      <c r="K330" t="s">
        <v>228</v>
      </c>
      <c r="L330" t="s">
        <v>229</v>
      </c>
      <c r="M330" t="s">
        <v>230</v>
      </c>
      <c r="N330" t="s">
        <v>231</v>
      </c>
      <c r="O330" t="s">
        <v>232</v>
      </c>
      <c r="P330" t="s">
        <v>5</v>
      </c>
      <c r="Q330" t="s">
        <v>6</v>
      </c>
      <c r="R330" t="s">
        <v>350</v>
      </c>
      <c r="S330" t="s">
        <v>17</v>
      </c>
      <c r="T330" t="s">
        <v>334</v>
      </c>
      <c r="U330">
        <f>Sales_Order[[#This Row],[Quantity ordered]]*Sales_Order[[#This Row],[Price each]]</f>
        <v>5000</v>
      </c>
    </row>
    <row r="331" spans="1:21" x14ac:dyDescent="0.3">
      <c r="A331">
        <v>10367</v>
      </c>
      <c r="B331">
        <v>27</v>
      </c>
      <c r="C331">
        <v>100</v>
      </c>
      <c r="D331">
        <v>5</v>
      </c>
      <c r="E331" s="1">
        <v>38687</v>
      </c>
      <c r="F331" t="s">
        <v>276</v>
      </c>
      <c r="G331">
        <v>1</v>
      </c>
      <c r="H331">
        <v>2005</v>
      </c>
      <c r="I331" t="s">
        <v>49</v>
      </c>
      <c r="J331" t="s">
        <v>60</v>
      </c>
      <c r="K331" t="s">
        <v>158</v>
      </c>
      <c r="L331" t="s">
        <v>159</v>
      </c>
      <c r="M331" t="s">
        <v>160</v>
      </c>
      <c r="N331" t="s">
        <v>161</v>
      </c>
      <c r="O331" t="s">
        <v>162</v>
      </c>
      <c r="P331" t="s">
        <v>5</v>
      </c>
      <c r="Q331" t="s">
        <v>6</v>
      </c>
      <c r="R331" t="s">
        <v>321</v>
      </c>
      <c r="S331" t="s">
        <v>8</v>
      </c>
      <c r="T331" t="s">
        <v>345</v>
      </c>
      <c r="U331">
        <f>Sales_Order[[#This Row],[Quantity ordered]]*Sales_Order[[#This Row],[Price each]]</f>
        <v>2700</v>
      </c>
    </row>
    <row r="332" spans="1:21" x14ac:dyDescent="0.3">
      <c r="A332">
        <v>10390</v>
      </c>
      <c r="B332">
        <v>31</v>
      </c>
      <c r="C332">
        <v>98.99</v>
      </c>
      <c r="D332">
        <v>16</v>
      </c>
      <c r="E332" s="1">
        <v>38445</v>
      </c>
      <c r="F332" t="s">
        <v>0</v>
      </c>
      <c r="G332">
        <v>1</v>
      </c>
      <c r="H332">
        <v>2005</v>
      </c>
      <c r="I332" t="s">
        <v>49</v>
      </c>
      <c r="J332" t="s">
        <v>60</v>
      </c>
      <c r="K332" t="s">
        <v>225</v>
      </c>
      <c r="L332" t="s">
        <v>226</v>
      </c>
      <c r="M332" t="s">
        <v>227</v>
      </c>
      <c r="N332" t="s">
        <v>161</v>
      </c>
      <c r="O332" t="s">
        <v>177</v>
      </c>
      <c r="P332" t="s">
        <v>5</v>
      </c>
      <c r="Q332" t="s">
        <v>6</v>
      </c>
      <c r="R332" t="s">
        <v>349</v>
      </c>
      <c r="S332" t="s">
        <v>8</v>
      </c>
      <c r="T332" t="s">
        <v>338</v>
      </c>
      <c r="U332">
        <f>Sales_Order[[#This Row],[Quantity ordered]]*Sales_Order[[#This Row],[Price each]]</f>
        <v>3068.69</v>
      </c>
    </row>
    <row r="333" spans="1:21" x14ac:dyDescent="0.3">
      <c r="A333">
        <v>10420</v>
      </c>
      <c r="B333">
        <v>45</v>
      </c>
      <c r="C333">
        <v>100</v>
      </c>
      <c r="D333">
        <v>2</v>
      </c>
      <c r="E333" s="1">
        <v>38501</v>
      </c>
      <c r="F333" t="s">
        <v>29</v>
      </c>
      <c r="G333">
        <v>2</v>
      </c>
      <c r="H333">
        <v>2005</v>
      </c>
      <c r="I333" t="s">
        <v>49</v>
      </c>
      <c r="J333" t="s">
        <v>60</v>
      </c>
      <c r="K333" t="s">
        <v>18</v>
      </c>
      <c r="L333" t="s">
        <v>19</v>
      </c>
      <c r="M333" t="s">
        <v>20</v>
      </c>
      <c r="N333" t="s">
        <v>21</v>
      </c>
      <c r="O333" t="s">
        <v>136</v>
      </c>
      <c r="P333" t="s">
        <v>13</v>
      </c>
      <c r="Q333" t="s">
        <v>14</v>
      </c>
      <c r="R333" t="s">
        <v>335</v>
      </c>
      <c r="S333" t="s">
        <v>8</v>
      </c>
      <c r="T333" t="s">
        <v>329</v>
      </c>
      <c r="U333">
        <f>Sales_Order[[#This Row],[Quantity ordered]]*Sales_Order[[#This Row],[Price each]]</f>
        <v>4500</v>
      </c>
    </row>
    <row r="334" spans="1:21" x14ac:dyDescent="0.3">
      <c r="A334">
        <v>10140</v>
      </c>
      <c r="B334">
        <v>46</v>
      </c>
      <c r="C334">
        <v>61.99</v>
      </c>
      <c r="D334">
        <v>2</v>
      </c>
      <c r="E334" s="1">
        <v>37826</v>
      </c>
      <c r="F334" t="s">
        <v>0</v>
      </c>
      <c r="G334">
        <v>3</v>
      </c>
      <c r="H334">
        <v>2003</v>
      </c>
      <c r="I334" t="s">
        <v>38</v>
      </c>
      <c r="J334" t="s">
        <v>61</v>
      </c>
      <c r="K334" t="s">
        <v>163</v>
      </c>
      <c r="L334" t="s">
        <v>164</v>
      </c>
      <c r="M334" t="s">
        <v>165</v>
      </c>
      <c r="N334" t="s">
        <v>161</v>
      </c>
      <c r="O334" t="s">
        <v>166</v>
      </c>
      <c r="P334" t="s">
        <v>5</v>
      </c>
      <c r="Q334" t="s">
        <v>6</v>
      </c>
      <c r="R334" t="s">
        <v>323</v>
      </c>
      <c r="S334" t="s">
        <v>7</v>
      </c>
      <c r="T334" t="s">
        <v>339</v>
      </c>
      <c r="U334">
        <f>Sales_Order[[#This Row],[Quantity ordered]]*Sales_Order[[#This Row],[Price each]]</f>
        <v>2851.54</v>
      </c>
    </row>
    <row r="335" spans="1:21" x14ac:dyDescent="0.3">
      <c r="A335">
        <v>10207</v>
      </c>
      <c r="B335">
        <v>37</v>
      </c>
      <c r="C335">
        <v>69.89</v>
      </c>
      <c r="D335">
        <v>13</v>
      </c>
      <c r="E335" s="1">
        <v>37876</v>
      </c>
      <c r="F335" t="s">
        <v>0</v>
      </c>
      <c r="G335">
        <v>4</v>
      </c>
      <c r="H335">
        <v>2003</v>
      </c>
      <c r="I335" t="s">
        <v>38</v>
      </c>
      <c r="J335" t="s">
        <v>61</v>
      </c>
      <c r="K335" t="s">
        <v>277</v>
      </c>
      <c r="L335" t="s">
        <v>278</v>
      </c>
      <c r="M335" t="s">
        <v>265</v>
      </c>
      <c r="N335" t="s">
        <v>181</v>
      </c>
      <c r="O335" t="s">
        <v>266</v>
      </c>
      <c r="P335" t="s">
        <v>5</v>
      </c>
      <c r="Q335" t="s">
        <v>6</v>
      </c>
      <c r="R335" t="s">
        <v>364</v>
      </c>
      <c r="S335" t="s">
        <v>7</v>
      </c>
      <c r="T335" t="s">
        <v>336</v>
      </c>
      <c r="U335">
        <f>Sales_Order[[#This Row],[Quantity ordered]]*Sales_Order[[#This Row],[Price each]]</f>
        <v>2585.9299999999998</v>
      </c>
    </row>
    <row r="336" spans="1:21" x14ac:dyDescent="0.3">
      <c r="A336">
        <v>10229</v>
      </c>
      <c r="B336">
        <v>28</v>
      </c>
      <c r="C336">
        <v>59.55</v>
      </c>
      <c r="D336">
        <v>7</v>
      </c>
      <c r="E336" s="1">
        <v>38294</v>
      </c>
      <c r="F336" t="s">
        <v>0</v>
      </c>
      <c r="G336">
        <v>1</v>
      </c>
      <c r="H336">
        <v>2004</v>
      </c>
      <c r="I336" t="s">
        <v>38</v>
      </c>
      <c r="J336" t="s">
        <v>61</v>
      </c>
      <c r="K336" t="s">
        <v>225</v>
      </c>
      <c r="L336" t="s">
        <v>226</v>
      </c>
      <c r="M336" t="s">
        <v>227</v>
      </c>
      <c r="N336" t="s">
        <v>161</v>
      </c>
      <c r="O336" t="s">
        <v>177</v>
      </c>
      <c r="P336" t="s">
        <v>5</v>
      </c>
      <c r="Q336" t="s">
        <v>6</v>
      </c>
      <c r="R336" t="s">
        <v>349</v>
      </c>
      <c r="S336" t="s">
        <v>7</v>
      </c>
      <c r="T336" t="s">
        <v>338</v>
      </c>
      <c r="U336">
        <f>Sales_Order[[#This Row],[Quantity ordered]]*Sales_Order[[#This Row],[Price each]]</f>
        <v>1667.3999999999999</v>
      </c>
    </row>
    <row r="337" spans="1:21" x14ac:dyDescent="0.3">
      <c r="A337">
        <v>10271</v>
      </c>
      <c r="B337">
        <v>25</v>
      </c>
      <c r="C337">
        <v>69.28</v>
      </c>
      <c r="D337">
        <v>11</v>
      </c>
      <c r="E337" s="1">
        <v>38188</v>
      </c>
      <c r="F337" t="s">
        <v>0</v>
      </c>
      <c r="G337">
        <v>3</v>
      </c>
      <c r="H337">
        <v>2004</v>
      </c>
      <c r="I337" t="s">
        <v>38</v>
      </c>
      <c r="J337" t="s">
        <v>61</v>
      </c>
      <c r="K337" t="s">
        <v>225</v>
      </c>
      <c r="L337" t="s">
        <v>226</v>
      </c>
      <c r="M337" t="s">
        <v>227</v>
      </c>
      <c r="N337" t="s">
        <v>161</v>
      </c>
      <c r="O337" t="s">
        <v>177</v>
      </c>
      <c r="P337" t="s">
        <v>5</v>
      </c>
      <c r="Q337" t="s">
        <v>6</v>
      </c>
      <c r="R337" t="s">
        <v>349</v>
      </c>
      <c r="S337" t="s">
        <v>7</v>
      </c>
      <c r="T337" t="s">
        <v>339</v>
      </c>
      <c r="U337">
        <f>Sales_Order[[#This Row],[Quantity ordered]]*Sales_Order[[#This Row],[Price each]]</f>
        <v>1732</v>
      </c>
    </row>
    <row r="338" spans="1:21" x14ac:dyDescent="0.3">
      <c r="A338">
        <v>10281</v>
      </c>
      <c r="B338">
        <v>29</v>
      </c>
      <c r="C338">
        <v>57.73</v>
      </c>
      <c r="D338">
        <v>7</v>
      </c>
      <c r="E338" s="1">
        <v>38218</v>
      </c>
      <c r="F338" t="s">
        <v>0</v>
      </c>
      <c r="G338">
        <v>3</v>
      </c>
      <c r="H338">
        <v>2004</v>
      </c>
      <c r="I338" t="s">
        <v>38</v>
      </c>
      <c r="J338" t="s">
        <v>61</v>
      </c>
      <c r="K338" t="s">
        <v>183</v>
      </c>
      <c r="L338" t="s">
        <v>184</v>
      </c>
      <c r="M338" t="s">
        <v>185</v>
      </c>
      <c r="N338" t="s">
        <v>186</v>
      </c>
      <c r="O338" t="s">
        <v>187</v>
      </c>
      <c r="P338" t="s">
        <v>5</v>
      </c>
      <c r="Q338" t="s">
        <v>6</v>
      </c>
      <c r="R338" t="s">
        <v>333</v>
      </c>
      <c r="S338" t="s">
        <v>7</v>
      </c>
      <c r="T338" t="s">
        <v>322</v>
      </c>
      <c r="U338">
        <f>Sales_Order[[#This Row],[Quantity ordered]]*Sales_Order[[#This Row],[Price each]]</f>
        <v>1674.1699999999998</v>
      </c>
    </row>
    <row r="339" spans="1:21" x14ac:dyDescent="0.3">
      <c r="A339">
        <v>10305</v>
      </c>
      <c r="B339">
        <v>41</v>
      </c>
      <c r="C339">
        <v>53.48</v>
      </c>
      <c r="D339">
        <v>11</v>
      </c>
      <c r="E339" s="1">
        <v>38273</v>
      </c>
      <c r="F339" t="s">
        <v>0</v>
      </c>
      <c r="G339">
        <v>4</v>
      </c>
      <c r="H339">
        <v>2004</v>
      </c>
      <c r="I339" t="s">
        <v>38</v>
      </c>
      <c r="J339" t="s">
        <v>61</v>
      </c>
      <c r="K339" t="s">
        <v>178</v>
      </c>
      <c r="L339" t="s">
        <v>179</v>
      </c>
      <c r="M339" t="s">
        <v>180</v>
      </c>
      <c r="N339" t="s">
        <v>181</v>
      </c>
      <c r="O339" t="s">
        <v>182</v>
      </c>
      <c r="P339" t="s">
        <v>5</v>
      </c>
      <c r="Q339" t="s">
        <v>6</v>
      </c>
      <c r="R339" t="s">
        <v>332</v>
      </c>
      <c r="S339" t="s">
        <v>7</v>
      </c>
      <c r="T339" t="s">
        <v>324</v>
      </c>
      <c r="U339">
        <f>Sales_Order[[#This Row],[Quantity ordered]]*Sales_Order[[#This Row],[Price each]]</f>
        <v>2192.6799999999998</v>
      </c>
    </row>
    <row r="340" spans="1:21" x14ac:dyDescent="0.3">
      <c r="A340">
        <v>10313</v>
      </c>
      <c r="B340">
        <v>34</v>
      </c>
      <c r="C340">
        <v>52.87</v>
      </c>
      <c r="D340">
        <v>5</v>
      </c>
      <c r="E340" s="1">
        <v>38282</v>
      </c>
      <c r="F340" t="s">
        <v>0</v>
      </c>
      <c r="G340">
        <v>4</v>
      </c>
      <c r="H340">
        <v>2004</v>
      </c>
      <c r="I340" t="s">
        <v>38</v>
      </c>
      <c r="J340" t="s">
        <v>61</v>
      </c>
      <c r="K340" t="s">
        <v>205</v>
      </c>
      <c r="L340" t="s">
        <v>206</v>
      </c>
      <c r="M340" t="s">
        <v>207</v>
      </c>
      <c r="N340" t="s">
        <v>208</v>
      </c>
      <c r="O340" t="s">
        <v>209</v>
      </c>
      <c r="P340" t="s">
        <v>210</v>
      </c>
      <c r="Q340" t="s">
        <v>6</v>
      </c>
      <c r="R340" t="s">
        <v>343</v>
      </c>
      <c r="S340" t="s">
        <v>7</v>
      </c>
      <c r="T340" t="s">
        <v>324</v>
      </c>
      <c r="U340">
        <f>Sales_Order[[#This Row],[Quantity ordered]]*Sales_Order[[#This Row],[Price each]]</f>
        <v>1797.58</v>
      </c>
    </row>
    <row r="341" spans="1:21" x14ac:dyDescent="0.3">
      <c r="A341">
        <v>10322</v>
      </c>
      <c r="B341">
        <v>35</v>
      </c>
      <c r="C341">
        <v>61.21</v>
      </c>
      <c r="D341">
        <v>11</v>
      </c>
      <c r="E341" s="1">
        <v>38088</v>
      </c>
      <c r="F341" t="s">
        <v>0</v>
      </c>
      <c r="G341">
        <v>4</v>
      </c>
      <c r="H341">
        <v>2004</v>
      </c>
      <c r="I341" t="s">
        <v>38</v>
      </c>
      <c r="J341" t="s">
        <v>61</v>
      </c>
      <c r="K341" t="s">
        <v>228</v>
      </c>
      <c r="L341" t="s">
        <v>229</v>
      </c>
      <c r="M341" t="s">
        <v>230</v>
      </c>
      <c r="N341" t="s">
        <v>231</v>
      </c>
      <c r="O341" t="s">
        <v>232</v>
      </c>
      <c r="P341" t="s">
        <v>5</v>
      </c>
      <c r="Q341" t="s">
        <v>6</v>
      </c>
      <c r="R341" t="s">
        <v>350</v>
      </c>
      <c r="S341" t="s">
        <v>7</v>
      </c>
      <c r="T341" t="s">
        <v>334</v>
      </c>
      <c r="U341">
        <f>Sales_Order[[#This Row],[Quantity ordered]]*Sales_Order[[#This Row],[Price each]]</f>
        <v>2142.35</v>
      </c>
    </row>
    <row r="342" spans="1:21" x14ac:dyDescent="0.3">
      <c r="A342">
        <v>10347</v>
      </c>
      <c r="B342">
        <v>50</v>
      </c>
      <c r="C342">
        <v>100</v>
      </c>
      <c r="D342">
        <v>8</v>
      </c>
      <c r="E342" s="1">
        <v>38320</v>
      </c>
      <c r="F342" t="s">
        <v>0</v>
      </c>
      <c r="G342">
        <v>4</v>
      </c>
      <c r="H342">
        <v>2004</v>
      </c>
      <c r="I342" t="s">
        <v>38</v>
      </c>
      <c r="J342" t="s">
        <v>61</v>
      </c>
      <c r="K342" t="s">
        <v>9</v>
      </c>
      <c r="L342" t="s">
        <v>10</v>
      </c>
      <c r="M342" t="s">
        <v>11</v>
      </c>
      <c r="N342" t="s">
        <v>12</v>
      </c>
      <c r="O342" t="s">
        <v>134</v>
      </c>
      <c r="P342" t="s">
        <v>13</v>
      </c>
      <c r="Q342" t="s">
        <v>14</v>
      </c>
      <c r="R342" t="s">
        <v>325</v>
      </c>
      <c r="S342" t="s">
        <v>8</v>
      </c>
      <c r="T342" t="s">
        <v>334</v>
      </c>
      <c r="U342">
        <f>Sales_Order[[#This Row],[Quantity ordered]]*Sales_Order[[#This Row],[Price each]]</f>
        <v>5000</v>
      </c>
    </row>
    <row r="343" spans="1:21" x14ac:dyDescent="0.3">
      <c r="A343">
        <v>10357</v>
      </c>
      <c r="B343">
        <v>41</v>
      </c>
      <c r="C343">
        <v>61.99</v>
      </c>
      <c r="D343">
        <v>7</v>
      </c>
      <c r="E343" s="1">
        <v>38272</v>
      </c>
      <c r="F343" t="s">
        <v>0</v>
      </c>
      <c r="G343">
        <v>4</v>
      </c>
      <c r="H343">
        <v>2004</v>
      </c>
      <c r="I343" t="s">
        <v>38</v>
      </c>
      <c r="J343" t="s">
        <v>61</v>
      </c>
      <c r="K343" t="s">
        <v>225</v>
      </c>
      <c r="L343" t="s">
        <v>226</v>
      </c>
      <c r="M343" t="s">
        <v>227</v>
      </c>
      <c r="N343" t="s">
        <v>161</v>
      </c>
      <c r="O343" t="s">
        <v>177</v>
      </c>
      <c r="P343" t="s">
        <v>5</v>
      </c>
      <c r="Q343" t="s">
        <v>6</v>
      </c>
      <c r="R343" t="s">
        <v>349</v>
      </c>
      <c r="S343" t="s">
        <v>7</v>
      </c>
      <c r="T343" t="s">
        <v>336</v>
      </c>
      <c r="U343">
        <f>Sales_Order[[#This Row],[Quantity ordered]]*Sales_Order[[#This Row],[Price each]]</f>
        <v>2541.59</v>
      </c>
    </row>
    <row r="344" spans="1:21" x14ac:dyDescent="0.3">
      <c r="A344">
        <v>10370</v>
      </c>
      <c r="B344">
        <v>22</v>
      </c>
      <c r="C344">
        <v>96.86</v>
      </c>
      <c r="D344">
        <v>7</v>
      </c>
      <c r="E344" s="1">
        <v>38372</v>
      </c>
      <c r="F344" t="s">
        <v>0</v>
      </c>
      <c r="G344">
        <v>1</v>
      </c>
      <c r="H344">
        <v>2005</v>
      </c>
      <c r="I344" t="s">
        <v>38</v>
      </c>
      <c r="J344" t="s">
        <v>61</v>
      </c>
      <c r="K344" t="s">
        <v>26</v>
      </c>
      <c r="L344" t="s">
        <v>27</v>
      </c>
      <c r="M344" t="s">
        <v>28</v>
      </c>
      <c r="N344" t="s">
        <v>21</v>
      </c>
      <c r="O344" t="s">
        <v>137</v>
      </c>
      <c r="P344" t="s">
        <v>13</v>
      </c>
      <c r="Q344" t="s">
        <v>14</v>
      </c>
      <c r="R344" t="s">
        <v>352</v>
      </c>
      <c r="S344" t="s">
        <v>7</v>
      </c>
      <c r="T344" t="s">
        <v>345</v>
      </c>
      <c r="U344">
        <f>Sales_Order[[#This Row],[Quantity ordered]]*Sales_Order[[#This Row],[Price each]]</f>
        <v>2130.92</v>
      </c>
    </row>
    <row r="345" spans="1:21" x14ac:dyDescent="0.3">
      <c r="A345">
        <v>10391</v>
      </c>
      <c r="B345">
        <v>44</v>
      </c>
      <c r="C345">
        <v>38.5</v>
      </c>
      <c r="D345">
        <v>5</v>
      </c>
      <c r="E345" s="1">
        <v>38598</v>
      </c>
      <c r="F345" t="s">
        <v>0</v>
      </c>
      <c r="G345">
        <v>1</v>
      </c>
      <c r="H345">
        <v>2005</v>
      </c>
      <c r="I345" t="s">
        <v>38</v>
      </c>
      <c r="J345" t="s">
        <v>61</v>
      </c>
      <c r="K345" t="s">
        <v>26</v>
      </c>
      <c r="L345" t="s">
        <v>27</v>
      </c>
      <c r="M345" t="s">
        <v>28</v>
      </c>
      <c r="N345" t="s">
        <v>21</v>
      </c>
      <c r="O345" t="s">
        <v>137</v>
      </c>
      <c r="P345" t="s">
        <v>13</v>
      </c>
      <c r="Q345" t="s">
        <v>14</v>
      </c>
      <c r="R345" t="s">
        <v>352</v>
      </c>
      <c r="S345" t="s">
        <v>7</v>
      </c>
      <c r="T345" t="s">
        <v>338</v>
      </c>
      <c r="U345">
        <f>Sales_Order[[#This Row],[Quantity ordered]]*Sales_Order[[#This Row],[Price each]]</f>
        <v>1694</v>
      </c>
    </row>
    <row r="346" spans="1:21" x14ac:dyDescent="0.3">
      <c r="A346">
        <v>10120</v>
      </c>
      <c r="B346">
        <v>29</v>
      </c>
      <c r="C346">
        <v>71.81</v>
      </c>
      <c r="D346">
        <v>8</v>
      </c>
      <c r="E346" s="1">
        <v>37740</v>
      </c>
      <c r="F346" t="s">
        <v>0</v>
      </c>
      <c r="G346">
        <v>2</v>
      </c>
      <c r="H346">
        <v>2003</v>
      </c>
      <c r="I346" t="s">
        <v>53</v>
      </c>
      <c r="J346" t="s">
        <v>62</v>
      </c>
      <c r="K346" t="s">
        <v>9</v>
      </c>
      <c r="L346" t="s">
        <v>10</v>
      </c>
      <c r="M346" t="s">
        <v>11</v>
      </c>
      <c r="N346" t="s">
        <v>12</v>
      </c>
      <c r="O346" t="s">
        <v>134</v>
      </c>
      <c r="P346" t="s">
        <v>13</v>
      </c>
      <c r="Q346" t="s">
        <v>14</v>
      </c>
      <c r="R346" t="s">
        <v>325</v>
      </c>
      <c r="S346" t="s">
        <v>7</v>
      </c>
      <c r="T346" t="s">
        <v>327</v>
      </c>
      <c r="U346">
        <f>Sales_Order[[#This Row],[Quantity ordered]]*Sales_Order[[#This Row],[Price each]]</f>
        <v>2082.4900000000002</v>
      </c>
    </row>
    <row r="347" spans="1:21" x14ac:dyDescent="0.3">
      <c r="A347">
        <v>10145</v>
      </c>
      <c r="B347">
        <v>30</v>
      </c>
      <c r="C347">
        <v>85.32</v>
      </c>
      <c r="D347">
        <v>14</v>
      </c>
      <c r="E347" s="1">
        <v>37858</v>
      </c>
      <c r="F347" t="s">
        <v>0</v>
      </c>
      <c r="G347">
        <v>3</v>
      </c>
      <c r="H347">
        <v>2003</v>
      </c>
      <c r="I347" t="s">
        <v>53</v>
      </c>
      <c r="J347" t="s">
        <v>62</v>
      </c>
      <c r="K347" t="s">
        <v>158</v>
      </c>
      <c r="L347" t="s">
        <v>159</v>
      </c>
      <c r="M347" t="s">
        <v>160</v>
      </c>
      <c r="N347" t="s">
        <v>161</v>
      </c>
      <c r="O347" t="s">
        <v>162</v>
      </c>
      <c r="P347" t="s">
        <v>5</v>
      </c>
      <c r="Q347" t="s">
        <v>6</v>
      </c>
      <c r="R347" t="s">
        <v>321</v>
      </c>
      <c r="S347" t="s">
        <v>7</v>
      </c>
      <c r="T347" t="s">
        <v>322</v>
      </c>
      <c r="U347">
        <f>Sales_Order[[#This Row],[Quantity ordered]]*Sales_Order[[#This Row],[Price each]]</f>
        <v>2559.6</v>
      </c>
    </row>
    <row r="348" spans="1:21" x14ac:dyDescent="0.3">
      <c r="A348">
        <v>10168</v>
      </c>
      <c r="B348">
        <v>21</v>
      </c>
      <c r="C348">
        <v>70.959999999999994</v>
      </c>
      <c r="D348">
        <v>9</v>
      </c>
      <c r="E348" s="1">
        <v>37922</v>
      </c>
      <c r="F348" t="s">
        <v>0</v>
      </c>
      <c r="G348">
        <v>4</v>
      </c>
      <c r="H348">
        <v>2003</v>
      </c>
      <c r="I348" t="s">
        <v>53</v>
      </c>
      <c r="J348" t="s">
        <v>62</v>
      </c>
      <c r="K348" t="s">
        <v>163</v>
      </c>
      <c r="L348" t="s">
        <v>164</v>
      </c>
      <c r="M348" t="s">
        <v>165</v>
      </c>
      <c r="N348" t="s">
        <v>161</v>
      </c>
      <c r="O348" t="s">
        <v>166</v>
      </c>
      <c r="P348" t="s">
        <v>5</v>
      </c>
      <c r="Q348" t="s">
        <v>6</v>
      </c>
      <c r="R348" t="s">
        <v>323</v>
      </c>
      <c r="S348" t="s">
        <v>7</v>
      </c>
      <c r="T348" t="s">
        <v>324</v>
      </c>
      <c r="U348">
        <f>Sales_Order[[#This Row],[Quantity ordered]]*Sales_Order[[#This Row],[Price each]]</f>
        <v>1490.1599999999999</v>
      </c>
    </row>
    <row r="349" spans="1:21" x14ac:dyDescent="0.3">
      <c r="A349">
        <v>10210</v>
      </c>
      <c r="B349">
        <v>50</v>
      </c>
      <c r="C349">
        <v>76.88</v>
      </c>
      <c r="D349">
        <v>7</v>
      </c>
      <c r="E349" s="1">
        <v>38322</v>
      </c>
      <c r="F349" t="s">
        <v>0</v>
      </c>
      <c r="G349">
        <v>1</v>
      </c>
      <c r="H349">
        <v>2004</v>
      </c>
      <c r="I349" t="s">
        <v>53</v>
      </c>
      <c r="J349" t="s">
        <v>62</v>
      </c>
      <c r="K349" t="s">
        <v>242</v>
      </c>
      <c r="L349" t="s">
        <v>243</v>
      </c>
      <c r="M349" t="s">
        <v>244</v>
      </c>
      <c r="N349" t="s">
        <v>244</v>
      </c>
      <c r="O349" t="s">
        <v>245</v>
      </c>
      <c r="P349" t="s">
        <v>195</v>
      </c>
      <c r="Q349" t="s">
        <v>195</v>
      </c>
      <c r="R349" t="s">
        <v>354</v>
      </c>
      <c r="S349" t="s">
        <v>8</v>
      </c>
      <c r="T349" t="s">
        <v>345</v>
      </c>
      <c r="U349">
        <f>Sales_Order[[#This Row],[Quantity ordered]]*Sales_Order[[#This Row],[Price each]]</f>
        <v>3844</v>
      </c>
    </row>
    <row r="350" spans="1:21" x14ac:dyDescent="0.3">
      <c r="A350">
        <v>10223</v>
      </c>
      <c r="B350">
        <v>47</v>
      </c>
      <c r="C350">
        <v>100</v>
      </c>
      <c r="D350">
        <v>9</v>
      </c>
      <c r="E350" s="1">
        <v>38037</v>
      </c>
      <c r="F350" t="s">
        <v>0</v>
      </c>
      <c r="G350">
        <v>1</v>
      </c>
      <c r="H350">
        <v>2004</v>
      </c>
      <c r="I350" t="s">
        <v>53</v>
      </c>
      <c r="J350" t="s">
        <v>62</v>
      </c>
      <c r="K350" t="s">
        <v>9</v>
      </c>
      <c r="L350" t="s">
        <v>10</v>
      </c>
      <c r="M350" t="s">
        <v>11</v>
      </c>
      <c r="N350" t="s">
        <v>12</v>
      </c>
      <c r="O350" t="s">
        <v>134</v>
      </c>
      <c r="P350" t="s">
        <v>13</v>
      </c>
      <c r="Q350" t="s">
        <v>14</v>
      </c>
      <c r="R350" t="s">
        <v>325</v>
      </c>
      <c r="S350" t="s">
        <v>8</v>
      </c>
      <c r="T350" t="s">
        <v>320</v>
      </c>
      <c r="U350">
        <f>Sales_Order[[#This Row],[Quantity ordered]]*Sales_Order[[#This Row],[Price each]]</f>
        <v>4700</v>
      </c>
    </row>
    <row r="351" spans="1:21" x14ac:dyDescent="0.3">
      <c r="A351">
        <v>10235</v>
      </c>
      <c r="B351">
        <v>24</v>
      </c>
      <c r="C351">
        <v>76.03</v>
      </c>
      <c r="D351">
        <v>3</v>
      </c>
      <c r="E351" s="1">
        <v>38021</v>
      </c>
      <c r="F351" t="s">
        <v>0</v>
      </c>
      <c r="G351">
        <v>2</v>
      </c>
      <c r="H351">
        <v>2004</v>
      </c>
      <c r="I351" t="s">
        <v>53</v>
      </c>
      <c r="J351" t="s">
        <v>62</v>
      </c>
      <c r="K351" t="s">
        <v>259</v>
      </c>
      <c r="L351" t="s">
        <v>260</v>
      </c>
      <c r="M351" t="s">
        <v>261</v>
      </c>
      <c r="N351" t="s">
        <v>208</v>
      </c>
      <c r="O351" t="s">
        <v>262</v>
      </c>
      <c r="P351" t="s">
        <v>210</v>
      </c>
      <c r="Q351" t="s">
        <v>6</v>
      </c>
      <c r="R351" t="s">
        <v>359</v>
      </c>
      <c r="S351" t="s">
        <v>7</v>
      </c>
      <c r="T351" t="s">
        <v>327</v>
      </c>
      <c r="U351">
        <f>Sales_Order[[#This Row],[Quantity ordered]]*Sales_Order[[#This Row],[Price each]]</f>
        <v>1824.72</v>
      </c>
    </row>
    <row r="352" spans="1:21" x14ac:dyDescent="0.3">
      <c r="A352">
        <v>10250</v>
      </c>
      <c r="B352">
        <v>27</v>
      </c>
      <c r="C352">
        <v>98.84</v>
      </c>
      <c r="D352">
        <v>4</v>
      </c>
      <c r="E352" s="1">
        <v>38296</v>
      </c>
      <c r="F352" t="s">
        <v>0</v>
      </c>
      <c r="G352">
        <v>2</v>
      </c>
      <c r="H352">
        <v>2004</v>
      </c>
      <c r="I352" t="s">
        <v>53</v>
      </c>
      <c r="J352" t="s">
        <v>62</v>
      </c>
      <c r="K352" t="s">
        <v>272</v>
      </c>
      <c r="L352" t="s">
        <v>273</v>
      </c>
      <c r="M352" t="s">
        <v>274</v>
      </c>
      <c r="N352" t="s">
        <v>161</v>
      </c>
      <c r="O352" t="s">
        <v>166</v>
      </c>
      <c r="P352" t="s">
        <v>5</v>
      </c>
      <c r="Q352" t="s">
        <v>6</v>
      </c>
      <c r="R352" t="s">
        <v>363</v>
      </c>
      <c r="S352" t="s">
        <v>7</v>
      </c>
      <c r="T352" t="s">
        <v>329</v>
      </c>
      <c r="U352">
        <f>Sales_Order[[#This Row],[Quantity ordered]]*Sales_Order[[#This Row],[Price each]]</f>
        <v>2668.6800000000003</v>
      </c>
    </row>
    <row r="353" spans="1:21" x14ac:dyDescent="0.3">
      <c r="A353">
        <v>10263</v>
      </c>
      <c r="B353">
        <v>33</v>
      </c>
      <c r="C353">
        <v>86.17</v>
      </c>
      <c r="D353">
        <v>10</v>
      </c>
      <c r="E353" s="1">
        <v>38166</v>
      </c>
      <c r="F353" t="s">
        <v>0</v>
      </c>
      <c r="G353">
        <v>2</v>
      </c>
      <c r="H353">
        <v>2004</v>
      </c>
      <c r="I353" t="s">
        <v>53</v>
      </c>
      <c r="J353" t="s">
        <v>62</v>
      </c>
      <c r="K353" t="s">
        <v>173</v>
      </c>
      <c r="L353" t="s">
        <v>174</v>
      </c>
      <c r="M353" t="s">
        <v>175</v>
      </c>
      <c r="N353" t="s">
        <v>176</v>
      </c>
      <c r="O353" t="s">
        <v>177</v>
      </c>
      <c r="P353" t="s">
        <v>5</v>
      </c>
      <c r="Q353" t="s">
        <v>6</v>
      </c>
      <c r="R353" t="s">
        <v>330</v>
      </c>
      <c r="S353" t="s">
        <v>7</v>
      </c>
      <c r="T353" t="s">
        <v>331</v>
      </c>
      <c r="U353">
        <f>Sales_Order[[#This Row],[Quantity ordered]]*Sales_Order[[#This Row],[Price each]]</f>
        <v>2843.61</v>
      </c>
    </row>
    <row r="354" spans="1:21" x14ac:dyDescent="0.3">
      <c r="A354">
        <v>10308</v>
      </c>
      <c r="B354">
        <v>27</v>
      </c>
      <c r="C354">
        <v>82.79</v>
      </c>
      <c r="D354">
        <v>7</v>
      </c>
      <c r="E354" s="1">
        <v>38275</v>
      </c>
      <c r="F354" t="s">
        <v>0</v>
      </c>
      <c r="G354">
        <v>4</v>
      </c>
      <c r="H354">
        <v>2004</v>
      </c>
      <c r="I354" t="s">
        <v>53</v>
      </c>
      <c r="J354" t="s">
        <v>62</v>
      </c>
      <c r="K354" t="s">
        <v>248</v>
      </c>
      <c r="L354" t="s">
        <v>249</v>
      </c>
      <c r="M354" t="s">
        <v>250</v>
      </c>
      <c r="N354" t="s">
        <v>4</v>
      </c>
      <c r="O354" t="s">
        <v>251</v>
      </c>
      <c r="P354" t="s">
        <v>5</v>
      </c>
      <c r="Q354" t="s">
        <v>6</v>
      </c>
      <c r="R354" t="s">
        <v>356</v>
      </c>
      <c r="S354" t="s">
        <v>7</v>
      </c>
      <c r="T354" t="s">
        <v>324</v>
      </c>
      <c r="U354">
        <f>Sales_Order[[#This Row],[Quantity ordered]]*Sales_Order[[#This Row],[Price each]]</f>
        <v>2235.3300000000004</v>
      </c>
    </row>
    <row r="355" spans="1:21" x14ac:dyDescent="0.3">
      <c r="A355">
        <v>10318</v>
      </c>
      <c r="B355">
        <v>31</v>
      </c>
      <c r="C355">
        <v>100</v>
      </c>
      <c r="D355">
        <v>9</v>
      </c>
      <c r="E355" s="1">
        <v>38028</v>
      </c>
      <c r="F355" t="s">
        <v>0</v>
      </c>
      <c r="G355">
        <v>4</v>
      </c>
      <c r="H355">
        <v>2004</v>
      </c>
      <c r="I355" t="s">
        <v>53</v>
      </c>
      <c r="J355" t="s">
        <v>62</v>
      </c>
      <c r="K355" t="s">
        <v>183</v>
      </c>
      <c r="L355" t="s">
        <v>184</v>
      </c>
      <c r="M355" t="s">
        <v>185</v>
      </c>
      <c r="N355" t="s">
        <v>186</v>
      </c>
      <c r="O355" t="s">
        <v>187</v>
      </c>
      <c r="P355" t="s">
        <v>5</v>
      </c>
      <c r="Q355" t="s">
        <v>6</v>
      </c>
      <c r="R355" t="s">
        <v>333</v>
      </c>
      <c r="S355" t="s">
        <v>8</v>
      </c>
      <c r="T355" t="s">
        <v>334</v>
      </c>
      <c r="U355">
        <f>Sales_Order[[#This Row],[Quantity ordered]]*Sales_Order[[#This Row],[Price each]]</f>
        <v>3100</v>
      </c>
    </row>
    <row r="356" spans="1:21" x14ac:dyDescent="0.3">
      <c r="A356">
        <v>10339</v>
      </c>
      <c r="B356">
        <v>27</v>
      </c>
      <c r="C356">
        <v>100</v>
      </c>
      <c r="D356">
        <v>2</v>
      </c>
      <c r="E356" s="1">
        <v>38314</v>
      </c>
      <c r="F356" t="s">
        <v>0</v>
      </c>
      <c r="G356">
        <v>4</v>
      </c>
      <c r="H356">
        <v>2004</v>
      </c>
      <c r="I356" t="s">
        <v>53</v>
      </c>
      <c r="J356" t="s">
        <v>62</v>
      </c>
      <c r="K356" t="s">
        <v>220</v>
      </c>
      <c r="L356" t="s">
        <v>221</v>
      </c>
      <c r="M356" t="s">
        <v>222</v>
      </c>
      <c r="N356" t="s">
        <v>223</v>
      </c>
      <c r="O356" t="s">
        <v>224</v>
      </c>
      <c r="P356" t="s">
        <v>195</v>
      </c>
      <c r="Q356" t="s">
        <v>195</v>
      </c>
      <c r="R356" t="s">
        <v>348</v>
      </c>
      <c r="S356" t="s">
        <v>7</v>
      </c>
      <c r="T356" t="s">
        <v>334</v>
      </c>
      <c r="U356">
        <f>Sales_Order[[#This Row],[Quantity ordered]]*Sales_Order[[#This Row],[Price each]]</f>
        <v>2700</v>
      </c>
    </row>
    <row r="357" spans="1:21" x14ac:dyDescent="0.3">
      <c r="A357">
        <v>10353</v>
      </c>
      <c r="B357">
        <v>27</v>
      </c>
      <c r="C357">
        <v>100</v>
      </c>
      <c r="D357">
        <v>1</v>
      </c>
      <c r="E357" s="1">
        <v>38089</v>
      </c>
      <c r="F357" t="s">
        <v>0</v>
      </c>
      <c r="G357">
        <v>4</v>
      </c>
      <c r="H357">
        <v>2004</v>
      </c>
      <c r="I357" t="s">
        <v>53</v>
      </c>
      <c r="J357" t="s">
        <v>62</v>
      </c>
      <c r="K357" t="s">
        <v>301</v>
      </c>
      <c r="L357" t="s">
        <v>302</v>
      </c>
      <c r="M357" t="s">
        <v>284</v>
      </c>
      <c r="N357" t="s">
        <v>176</v>
      </c>
      <c r="O357" t="s">
        <v>303</v>
      </c>
      <c r="P357" t="s">
        <v>5</v>
      </c>
      <c r="Q357" t="s">
        <v>6</v>
      </c>
      <c r="R357" t="s">
        <v>372</v>
      </c>
      <c r="S357" t="s">
        <v>8</v>
      </c>
      <c r="T357" t="s">
        <v>336</v>
      </c>
      <c r="U357">
        <f>Sales_Order[[#This Row],[Quantity ordered]]*Sales_Order[[#This Row],[Price each]]</f>
        <v>2700</v>
      </c>
    </row>
    <row r="358" spans="1:21" x14ac:dyDescent="0.3">
      <c r="A358">
        <v>10374</v>
      </c>
      <c r="B358">
        <v>42</v>
      </c>
      <c r="C358">
        <v>69.27</v>
      </c>
      <c r="D358">
        <v>2</v>
      </c>
      <c r="E358" s="1">
        <v>38385</v>
      </c>
      <c r="F358" t="s">
        <v>0</v>
      </c>
      <c r="G358">
        <v>1</v>
      </c>
      <c r="H358">
        <v>2005</v>
      </c>
      <c r="I358" t="s">
        <v>53</v>
      </c>
      <c r="J358" t="s">
        <v>62</v>
      </c>
      <c r="K358" t="s">
        <v>196</v>
      </c>
      <c r="L358" t="s">
        <v>197</v>
      </c>
      <c r="M358" t="s">
        <v>198</v>
      </c>
      <c r="N358" t="s">
        <v>199</v>
      </c>
      <c r="O358" t="s">
        <v>200</v>
      </c>
      <c r="P358" t="s">
        <v>13</v>
      </c>
      <c r="Q358" t="s">
        <v>14</v>
      </c>
      <c r="R358" t="s">
        <v>341</v>
      </c>
      <c r="S358" t="s">
        <v>7</v>
      </c>
      <c r="T358" t="s">
        <v>320</v>
      </c>
      <c r="U358">
        <f>Sales_Order[[#This Row],[Quantity ordered]]*Sales_Order[[#This Row],[Price each]]</f>
        <v>2909.3399999999997</v>
      </c>
    </row>
    <row r="359" spans="1:21" x14ac:dyDescent="0.3">
      <c r="A359">
        <v>10401</v>
      </c>
      <c r="B359">
        <v>42</v>
      </c>
      <c r="C359">
        <v>76.03</v>
      </c>
      <c r="D359">
        <v>3</v>
      </c>
      <c r="E359" s="1">
        <v>38415</v>
      </c>
      <c r="F359" t="s">
        <v>275</v>
      </c>
      <c r="G359">
        <v>2</v>
      </c>
      <c r="H359">
        <v>2005</v>
      </c>
      <c r="I359" t="s">
        <v>53</v>
      </c>
      <c r="J359" t="s">
        <v>62</v>
      </c>
      <c r="K359" t="s">
        <v>168</v>
      </c>
      <c r="L359" t="s">
        <v>169</v>
      </c>
      <c r="M359" t="s">
        <v>170</v>
      </c>
      <c r="N359" t="s">
        <v>171</v>
      </c>
      <c r="O359" t="s">
        <v>172</v>
      </c>
      <c r="P359" t="s">
        <v>5</v>
      </c>
      <c r="Q359" t="s">
        <v>6</v>
      </c>
      <c r="R359" t="s">
        <v>328</v>
      </c>
      <c r="S359" t="s">
        <v>8</v>
      </c>
      <c r="T359" t="s">
        <v>327</v>
      </c>
      <c r="U359">
        <f>Sales_Order[[#This Row],[Quantity ordered]]*Sales_Order[[#This Row],[Price each]]</f>
        <v>3193.26</v>
      </c>
    </row>
    <row r="360" spans="1:21" x14ac:dyDescent="0.3">
      <c r="A360">
        <v>10107</v>
      </c>
      <c r="B360">
        <v>29</v>
      </c>
      <c r="C360">
        <v>70.87</v>
      </c>
      <c r="D360">
        <v>6</v>
      </c>
      <c r="E360" s="1">
        <v>37676</v>
      </c>
      <c r="F360" t="s">
        <v>0</v>
      </c>
      <c r="G360">
        <v>1</v>
      </c>
      <c r="H360">
        <v>2003</v>
      </c>
      <c r="I360" t="s">
        <v>1</v>
      </c>
      <c r="J360" t="s">
        <v>63</v>
      </c>
      <c r="K360" t="s">
        <v>155</v>
      </c>
      <c r="L360" t="s">
        <v>156</v>
      </c>
      <c r="M360" t="s">
        <v>3</v>
      </c>
      <c r="N360" t="s">
        <v>4</v>
      </c>
      <c r="O360" t="s">
        <v>135</v>
      </c>
      <c r="P360" t="s">
        <v>5</v>
      </c>
      <c r="Q360" t="s">
        <v>6</v>
      </c>
      <c r="R360" t="s">
        <v>319</v>
      </c>
      <c r="S360" t="s">
        <v>7</v>
      </c>
      <c r="T360" t="s">
        <v>320</v>
      </c>
      <c r="U360">
        <f>Sales_Order[[#This Row],[Quantity ordered]]*Sales_Order[[#This Row],[Price each]]</f>
        <v>2055.23</v>
      </c>
    </row>
    <row r="361" spans="1:21" x14ac:dyDescent="0.3">
      <c r="A361">
        <v>10120</v>
      </c>
      <c r="B361">
        <v>46</v>
      </c>
      <c r="C361">
        <v>58.15</v>
      </c>
      <c r="D361">
        <v>4</v>
      </c>
      <c r="E361" s="1">
        <v>37740</v>
      </c>
      <c r="F361" t="s">
        <v>0</v>
      </c>
      <c r="G361">
        <v>2</v>
      </c>
      <c r="H361">
        <v>2003</v>
      </c>
      <c r="I361" t="s">
        <v>1</v>
      </c>
      <c r="J361" t="s">
        <v>63</v>
      </c>
      <c r="K361" t="s">
        <v>9</v>
      </c>
      <c r="L361" t="s">
        <v>10</v>
      </c>
      <c r="M361" t="s">
        <v>11</v>
      </c>
      <c r="N361" t="s">
        <v>12</v>
      </c>
      <c r="O361" t="s">
        <v>134</v>
      </c>
      <c r="P361" t="s">
        <v>13</v>
      </c>
      <c r="Q361" t="s">
        <v>14</v>
      </c>
      <c r="R361" t="s">
        <v>325</v>
      </c>
      <c r="S361" t="s">
        <v>7</v>
      </c>
      <c r="T361" t="s">
        <v>327</v>
      </c>
      <c r="U361">
        <f>Sales_Order[[#This Row],[Quantity ordered]]*Sales_Order[[#This Row],[Price each]]</f>
        <v>2674.9</v>
      </c>
    </row>
    <row r="362" spans="1:21" x14ac:dyDescent="0.3">
      <c r="A362">
        <v>10145</v>
      </c>
      <c r="B362">
        <v>30</v>
      </c>
      <c r="C362">
        <v>49.67</v>
      </c>
      <c r="D362">
        <v>10</v>
      </c>
      <c r="E362" s="1">
        <v>37858</v>
      </c>
      <c r="F362" t="s">
        <v>0</v>
      </c>
      <c r="G362">
        <v>3</v>
      </c>
      <c r="H362">
        <v>2003</v>
      </c>
      <c r="I362" t="s">
        <v>1</v>
      </c>
      <c r="J362" t="s">
        <v>63</v>
      </c>
      <c r="K362" t="s">
        <v>158</v>
      </c>
      <c r="L362" t="s">
        <v>159</v>
      </c>
      <c r="M362" t="s">
        <v>160</v>
      </c>
      <c r="N362" t="s">
        <v>161</v>
      </c>
      <c r="O362" t="s">
        <v>162</v>
      </c>
      <c r="P362" t="s">
        <v>5</v>
      </c>
      <c r="Q362" t="s">
        <v>6</v>
      </c>
      <c r="R362" t="s">
        <v>321</v>
      </c>
      <c r="S362" t="s">
        <v>7</v>
      </c>
      <c r="T362" t="s">
        <v>322</v>
      </c>
      <c r="U362">
        <f>Sales_Order[[#This Row],[Quantity ordered]]*Sales_Order[[#This Row],[Price each]]</f>
        <v>1490.1000000000001</v>
      </c>
    </row>
    <row r="363" spans="1:21" x14ac:dyDescent="0.3">
      <c r="A363">
        <v>10168</v>
      </c>
      <c r="B363">
        <v>46</v>
      </c>
      <c r="C363">
        <v>61.18</v>
      </c>
      <c r="D363">
        <v>5</v>
      </c>
      <c r="E363" s="1">
        <v>37922</v>
      </c>
      <c r="F363" t="s">
        <v>0</v>
      </c>
      <c r="G363">
        <v>4</v>
      </c>
      <c r="H363">
        <v>2003</v>
      </c>
      <c r="I363" t="s">
        <v>1</v>
      </c>
      <c r="J363" t="s">
        <v>63</v>
      </c>
      <c r="K363" t="s">
        <v>163</v>
      </c>
      <c r="L363" t="s">
        <v>164</v>
      </c>
      <c r="M363" t="s">
        <v>165</v>
      </c>
      <c r="N363" t="s">
        <v>161</v>
      </c>
      <c r="O363" t="s">
        <v>166</v>
      </c>
      <c r="P363" t="s">
        <v>5</v>
      </c>
      <c r="Q363" t="s">
        <v>6</v>
      </c>
      <c r="R363" t="s">
        <v>323</v>
      </c>
      <c r="S363" t="s">
        <v>7</v>
      </c>
      <c r="T363" t="s">
        <v>324</v>
      </c>
      <c r="U363">
        <f>Sales_Order[[#This Row],[Quantity ordered]]*Sales_Order[[#This Row],[Price each]]</f>
        <v>2814.28</v>
      </c>
    </row>
    <row r="364" spans="1:21" x14ac:dyDescent="0.3">
      <c r="A364">
        <v>10210</v>
      </c>
      <c r="B364">
        <v>40</v>
      </c>
      <c r="C364">
        <v>49.67</v>
      </c>
      <c r="D364">
        <v>3</v>
      </c>
      <c r="E364" s="1">
        <v>38322</v>
      </c>
      <c r="F364" t="s">
        <v>0</v>
      </c>
      <c r="G364">
        <v>1</v>
      </c>
      <c r="H364">
        <v>2004</v>
      </c>
      <c r="I364" t="s">
        <v>1</v>
      </c>
      <c r="J364" t="s">
        <v>63</v>
      </c>
      <c r="K364" t="s">
        <v>242</v>
      </c>
      <c r="L364" t="s">
        <v>243</v>
      </c>
      <c r="M364" t="s">
        <v>244</v>
      </c>
      <c r="N364" t="s">
        <v>244</v>
      </c>
      <c r="O364" t="s">
        <v>245</v>
      </c>
      <c r="P364" t="s">
        <v>195</v>
      </c>
      <c r="Q364" t="s">
        <v>195</v>
      </c>
      <c r="R364" t="s">
        <v>354</v>
      </c>
      <c r="S364" t="s">
        <v>7</v>
      </c>
      <c r="T364" t="s">
        <v>345</v>
      </c>
      <c r="U364">
        <f>Sales_Order[[#This Row],[Quantity ordered]]*Sales_Order[[#This Row],[Price each]]</f>
        <v>1986.8000000000002</v>
      </c>
    </row>
    <row r="365" spans="1:21" x14ac:dyDescent="0.3">
      <c r="A365">
        <v>10223</v>
      </c>
      <c r="B365">
        <v>28</v>
      </c>
      <c r="C365">
        <v>60.57</v>
      </c>
      <c r="D365">
        <v>5</v>
      </c>
      <c r="E365" s="1">
        <v>38037</v>
      </c>
      <c r="F365" t="s">
        <v>0</v>
      </c>
      <c r="G365">
        <v>1</v>
      </c>
      <c r="H365">
        <v>2004</v>
      </c>
      <c r="I365" t="s">
        <v>1</v>
      </c>
      <c r="J365" t="s">
        <v>63</v>
      </c>
      <c r="K365" t="s">
        <v>9</v>
      </c>
      <c r="L365" t="s">
        <v>10</v>
      </c>
      <c r="M365" t="s">
        <v>11</v>
      </c>
      <c r="N365" t="s">
        <v>12</v>
      </c>
      <c r="O365" t="s">
        <v>134</v>
      </c>
      <c r="P365" t="s">
        <v>13</v>
      </c>
      <c r="Q365" t="s">
        <v>14</v>
      </c>
      <c r="R365" t="s">
        <v>325</v>
      </c>
      <c r="S365" t="s">
        <v>7</v>
      </c>
      <c r="T365" t="s">
        <v>320</v>
      </c>
      <c r="U365">
        <f>Sales_Order[[#This Row],[Quantity ordered]]*Sales_Order[[#This Row],[Price each]]</f>
        <v>1695.96</v>
      </c>
    </row>
    <row r="366" spans="1:21" x14ac:dyDescent="0.3">
      <c r="A366">
        <v>10236</v>
      </c>
      <c r="B366">
        <v>23</v>
      </c>
      <c r="C366">
        <v>55.72</v>
      </c>
      <c r="D366">
        <v>2</v>
      </c>
      <c r="E366" s="1">
        <v>38050</v>
      </c>
      <c r="F366" t="s">
        <v>0</v>
      </c>
      <c r="G366">
        <v>2</v>
      </c>
      <c r="H366">
        <v>2004</v>
      </c>
      <c r="I366" t="s">
        <v>1</v>
      </c>
      <c r="J366" t="s">
        <v>63</v>
      </c>
      <c r="K366" t="s">
        <v>246</v>
      </c>
      <c r="L366" t="s">
        <v>247</v>
      </c>
      <c r="M366" t="s">
        <v>203</v>
      </c>
      <c r="N366" t="s">
        <v>186</v>
      </c>
      <c r="O366" t="s">
        <v>204</v>
      </c>
      <c r="P366" t="s">
        <v>5</v>
      </c>
      <c r="Q366" t="s">
        <v>6</v>
      </c>
      <c r="R366" t="s">
        <v>355</v>
      </c>
      <c r="S366" t="s">
        <v>7</v>
      </c>
      <c r="T366" t="s">
        <v>327</v>
      </c>
      <c r="U366">
        <f>Sales_Order[[#This Row],[Quantity ordered]]*Sales_Order[[#This Row],[Price each]]</f>
        <v>1281.56</v>
      </c>
    </row>
    <row r="367" spans="1:21" x14ac:dyDescent="0.3">
      <c r="A367">
        <v>10251</v>
      </c>
      <c r="B367">
        <v>29</v>
      </c>
      <c r="C367">
        <v>61.18</v>
      </c>
      <c r="D367">
        <v>6</v>
      </c>
      <c r="E367" s="1">
        <v>38125</v>
      </c>
      <c r="F367" t="s">
        <v>0</v>
      </c>
      <c r="G367">
        <v>2</v>
      </c>
      <c r="H367">
        <v>2004</v>
      </c>
      <c r="I367" t="s">
        <v>1</v>
      </c>
      <c r="J367" t="s">
        <v>63</v>
      </c>
      <c r="K367" t="s">
        <v>168</v>
      </c>
      <c r="L367" t="s">
        <v>169</v>
      </c>
      <c r="M367" t="s">
        <v>170</v>
      </c>
      <c r="N367" t="s">
        <v>171</v>
      </c>
      <c r="O367" t="s">
        <v>172</v>
      </c>
      <c r="P367" t="s">
        <v>5</v>
      </c>
      <c r="Q367" t="s">
        <v>6</v>
      </c>
      <c r="R367" t="s">
        <v>328</v>
      </c>
      <c r="S367" t="s">
        <v>7</v>
      </c>
      <c r="T367" t="s">
        <v>329</v>
      </c>
      <c r="U367">
        <f>Sales_Order[[#This Row],[Quantity ordered]]*Sales_Order[[#This Row],[Price each]]</f>
        <v>1774.22</v>
      </c>
    </row>
    <row r="368" spans="1:21" x14ac:dyDescent="0.3">
      <c r="A368">
        <v>10263</v>
      </c>
      <c r="B368">
        <v>34</v>
      </c>
      <c r="C368">
        <v>58.75</v>
      </c>
      <c r="D368">
        <v>6</v>
      </c>
      <c r="E368" s="1">
        <v>38166</v>
      </c>
      <c r="F368" t="s">
        <v>0</v>
      </c>
      <c r="G368">
        <v>2</v>
      </c>
      <c r="H368">
        <v>2004</v>
      </c>
      <c r="I368" t="s">
        <v>1</v>
      </c>
      <c r="J368" t="s">
        <v>63</v>
      </c>
      <c r="K368" t="s">
        <v>173</v>
      </c>
      <c r="L368" t="s">
        <v>174</v>
      </c>
      <c r="M368" t="s">
        <v>175</v>
      </c>
      <c r="N368" t="s">
        <v>176</v>
      </c>
      <c r="O368" t="s">
        <v>177</v>
      </c>
      <c r="P368" t="s">
        <v>5</v>
      </c>
      <c r="Q368" t="s">
        <v>6</v>
      </c>
      <c r="R368" t="s">
        <v>330</v>
      </c>
      <c r="S368" t="s">
        <v>7</v>
      </c>
      <c r="T368" t="s">
        <v>331</v>
      </c>
      <c r="U368">
        <f>Sales_Order[[#This Row],[Quantity ordered]]*Sales_Order[[#This Row],[Price each]]</f>
        <v>1997.5</v>
      </c>
    </row>
    <row r="369" spans="1:21" x14ac:dyDescent="0.3">
      <c r="A369">
        <v>10285</v>
      </c>
      <c r="B369">
        <v>20</v>
      </c>
      <c r="C369">
        <v>49.06</v>
      </c>
      <c r="D369">
        <v>10</v>
      </c>
      <c r="E369" s="1">
        <v>38226</v>
      </c>
      <c r="F369" t="s">
        <v>0</v>
      </c>
      <c r="G369">
        <v>3</v>
      </c>
      <c r="H369">
        <v>2004</v>
      </c>
      <c r="I369" t="s">
        <v>1</v>
      </c>
      <c r="J369" t="s">
        <v>63</v>
      </c>
      <c r="K369" t="s">
        <v>178</v>
      </c>
      <c r="L369" t="s">
        <v>179</v>
      </c>
      <c r="M369" t="s">
        <v>180</v>
      </c>
      <c r="N369" t="s">
        <v>181</v>
      </c>
      <c r="O369" t="s">
        <v>182</v>
      </c>
      <c r="P369" t="s">
        <v>5</v>
      </c>
      <c r="Q369" t="s">
        <v>6</v>
      </c>
      <c r="R369" t="s">
        <v>332</v>
      </c>
      <c r="S369" t="s">
        <v>7</v>
      </c>
      <c r="T369" t="s">
        <v>322</v>
      </c>
      <c r="U369">
        <f>Sales_Order[[#This Row],[Quantity ordered]]*Sales_Order[[#This Row],[Price each]]</f>
        <v>981.2</v>
      </c>
    </row>
    <row r="370" spans="1:21" x14ac:dyDescent="0.3">
      <c r="A370">
        <v>10308</v>
      </c>
      <c r="B370">
        <v>34</v>
      </c>
      <c r="C370">
        <v>52.09</v>
      </c>
      <c r="D370">
        <v>3</v>
      </c>
      <c r="E370" s="1">
        <v>38275</v>
      </c>
      <c r="F370" t="s">
        <v>0</v>
      </c>
      <c r="G370">
        <v>4</v>
      </c>
      <c r="H370">
        <v>2004</v>
      </c>
      <c r="I370" t="s">
        <v>1</v>
      </c>
      <c r="J370" t="s">
        <v>63</v>
      </c>
      <c r="K370" t="s">
        <v>248</v>
      </c>
      <c r="L370" t="s">
        <v>249</v>
      </c>
      <c r="M370" t="s">
        <v>250</v>
      </c>
      <c r="N370" t="s">
        <v>4</v>
      </c>
      <c r="O370" t="s">
        <v>251</v>
      </c>
      <c r="P370" t="s">
        <v>5</v>
      </c>
      <c r="Q370" t="s">
        <v>6</v>
      </c>
      <c r="R370" t="s">
        <v>356</v>
      </c>
      <c r="S370" t="s">
        <v>7</v>
      </c>
      <c r="T370" t="s">
        <v>324</v>
      </c>
      <c r="U370">
        <f>Sales_Order[[#This Row],[Quantity ordered]]*Sales_Order[[#This Row],[Price each]]</f>
        <v>1771.0600000000002</v>
      </c>
    </row>
    <row r="371" spans="1:21" x14ac:dyDescent="0.3">
      <c r="A371">
        <v>10318</v>
      </c>
      <c r="B371">
        <v>42</v>
      </c>
      <c r="C371">
        <v>52.7</v>
      </c>
      <c r="D371">
        <v>5</v>
      </c>
      <c r="E371" s="1">
        <v>38028</v>
      </c>
      <c r="F371" t="s">
        <v>0</v>
      </c>
      <c r="G371">
        <v>4</v>
      </c>
      <c r="H371">
        <v>2004</v>
      </c>
      <c r="I371" t="s">
        <v>1</v>
      </c>
      <c r="J371" t="s">
        <v>63</v>
      </c>
      <c r="K371" t="s">
        <v>183</v>
      </c>
      <c r="L371" t="s">
        <v>184</v>
      </c>
      <c r="M371" t="s">
        <v>185</v>
      </c>
      <c r="N371" t="s">
        <v>186</v>
      </c>
      <c r="O371" t="s">
        <v>187</v>
      </c>
      <c r="P371" t="s">
        <v>5</v>
      </c>
      <c r="Q371" t="s">
        <v>6</v>
      </c>
      <c r="R371" t="s">
        <v>333</v>
      </c>
      <c r="S371" t="s">
        <v>7</v>
      </c>
      <c r="T371" t="s">
        <v>334</v>
      </c>
      <c r="U371">
        <f>Sales_Order[[#This Row],[Quantity ordered]]*Sales_Order[[#This Row],[Price each]]</f>
        <v>2213.4</v>
      </c>
    </row>
    <row r="372" spans="1:21" x14ac:dyDescent="0.3">
      <c r="A372">
        <v>10329</v>
      </c>
      <c r="B372">
        <v>38</v>
      </c>
      <c r="C372">
        <v>100</v>
      </c>
      <c r="D372">
        <v>12</v>
      </c>
      <c r="E372" s="1">
        <v>38306</v>
      </c>
      <c r="F372" t="s">
        <v>0</v>
      </c>
      <c r="G372">
        <v>4</v>
      </c>
      <c r="H372">
        <v>2004</v>
      </c>
      <c r="I372" t="s">
        <v>1</v>
      </c>
      <c r="J372" t="s">
        <v>63</v>
      </c>
      <c r="K372" t="s">
        <v>155</v>
      </c>
      <c r="L372" t="s">
        <v>156</v>
      </c>
      <c r="M372" t="s">
        <v>3</v>
      </c>
      <c r="N372" t="s">
        <v>4</v>
      </c>
      <c r="O372" t="s">
        <v>135</v>
      </c>
      <c r="P372" t="s">
        <v>5</v>
      </c>
      <c r="Q372" t="s">
        <v>6</v>
      </c>
      <c r="R372" t="s">
        <v>319</v>
      </c>
      <c r="S372" t="s">
        <v>8</v>
      </c>
      <c r="T372" t="s">
        <v>334</v>
      </c>
      <c r="U372">
        <f>Sales_Order[[#This Row],[Quantity ordered]]*Sales_Order[[#This Row],[Price each]]</f>
        <v>3800</v>
      </c>
    </row>
    <row r="373" spans="1:21" x14ac:dyDescent="0.3">
      <c r="A373">
        <v>10339</v>
      </c>
      <c r="B373">
        <v>30</v>
      </c>
      <c r="C373">
        <v>62.16</v>
      </c>
      <c r="D373">
        <v>1</v>
      </c>
      <c r="E373" s="1">
        <v>38314</v>
      </c>
      <c r="F373" t="s">
        <v>0</v>
      </c>
      <c r="G373">
        <v>4</v>
      </c>
      <c r="H373">
        <v>2004</v>
      </c>
      <c r="I373" t="s">
        <v>1</v>
      </c>
      <c r="J373" t="s">
        <v>63</v>
      </c>
      <c r="K373" t="s">
        <v>220</v>
      </c>
      <c r="L373" t="s">
        <v>221</v>
      </c>
      <c r="M373" t="s">
        <v>222</v>
      </c>
      <c r="N373" t="s">
        <v>223</v>
      </c>
      <c r="O373" t="s">
        <v>224</v>
      </c>
      <c r="P373" t="s">
        <v>195</v>
      </c>
      <c r="Q373" t="s">
        <v>195</v>
      </c>
      <c r="R373" t="s">
        <v>348</v>
      </c>
      <c r="S373" t="s">
        <v>7</v>
      </c>
      <c r="T373" t="s">
        <v>334</v>
      </c>
      <c r="U373">
        <f>Sales_Order[[#This Row],[Quantity ordered]]*Sales_Order[[#This Row],[Price each]]</f>
        <v>1864.8</v>
      </c>
    </row>
    <row r="374" spans="1:21" x14ac:dyDescent="0.3">
      <c r="A374">
        <v>10362</v>
      </c>
      <c r="B374">
        <v>23</v>
      </c>
      <c r="C374">
        <v>49.67</v>
      </c>
      <c r="D374">
        <v>3</v>
      </c>
      <c r="E374" s="1">
        <v>38473</v>
      </c>
      <c r="F374" t="s">
        <v>0</v>
      </c>
      <c r="G374">
        <v>1</v>
      </c>
      <c r="H374">
        <v>2005</v>
      </c>
      <c r="I374" t="s">
        <v>1</v>
      </c>
      <c r="J374" t="s">
        <v>63</v>
      </c>
      <c r="K374" t="s">
        <v>163</v>
      </c>
      <c r="L374" t="s">
        <v>164</v>
      </c>
      <c r="M374" t="s">
        <v>165</v>
      </c>
      <c r="N374" t="s">
        <v>161</v>
      </c>
      <c r="O374" t="s">
        <v>166</v>
      </c>
      <c r="P374" t="s">
        <v>5</v>
      </c>
      <c r="Q374" t="s">
        <v>6</v>
      </c>
      <c r="R374" t="s">
        <v>323</v>
      </c>
      <c r="S374" t="s">
        <v>7</v>
      </c>
      <c r="T374" t="s">
        <v>345</v>
      </c>
      <c r="U374">
        <f>Sales_Order[[#This Row],[Quantity ordered]]*Sales_Order[[#This Row],[Price each]]</f>
        <v>1142.4100000000001</v>
      </c>
    </row>
    <row r="375" spans="1:21" x14ac:dyDescent="0.3">
      <c r="A375">
        <v>10374</v>
      </c>
      <c r="B375">
        <v>22</v>
      </c>
      <c r="C375">
        <v>53.3</v>
      </c>
      <c r="D375">
        <v>4</v>
      </c>
      <c r="E375" s="1">
        <v>38385</v>
      </c>
      <c r="F375" t="s">
        <v>0</v>
      </c>
      <c r="G375">
        <v>1</v>
      </c>
      <c r="H375">
        <v>2005</v>
      </c>
      <c r="I375" t="s">
        <v>1</v>
      </c>
      <c r="J375" t="s">
        <v>63</v>
      </c>
      <c r="K375" t="s">
        <v>196</v>
      </c>
      <c r="L375" t="s">
        <v>197</v>
      </c>
      <c r="M375" t="s">
        <v>198</v>
      </c>
      <c r="N375" t="s">
        <v>199</v>
      </c>
      <c r="O375" t="s">
        <v>200</v>
      </c>
      <c r="P375" t="s">
        <v>13</v>
      </c>
      <c r="Q375" t="s">
        <v>14</v>
      </c>
      <c r="R375" t="s">
        <v>341</v>
      </c>
      <c r="S375" t="s">
        <v>7</v>
      </c>
      <c r="T375" t="s">
        <v>320</v>
      </c>
      <c r="U375">
        <f>Sales_Order[[#This Row],[Quantity ordered]]*Sales_Order[[#This Row],[Price each]]</f>
        <v>1172.5999999999999</v>
      </c>
    </row>
    <row r="376" spans="1:21" x14ac:dyDescent="0.3">
      <c r="A376">
        <v>10125</v>
      </c>
      <c r="B376">
        <v>34</v>
      </c>
      <c r="C376">
        <v>100</v>
      </c>
      <c r="D376">
        <v>2</v>
      </c>
      <c r="E376" s="1">
        <v>37762</v>
      </c>
      <c r="F376" t="s">
        <v>0</v>
      </c>
      <c r="G376">
        <v>2</v>
      </c>
      <c r="H376">
        <v>2003</v>
      </c>
      <c r="I376" t="s">
        <v>49</v>
      </c>
      <c r="J376" t="s">
        <v>64</v>
      </c>
      <c r="K376" t="s">
        <v>9</v>
      </c>
      <c r="L376" t="s">
        <v>10</v>
      </c>
      <c r="M376" t="s">
        <v>11</v>
      </c>
      <c r="N376" t="s">
        <v>12</v>
      </c>
      <c r="O376" t="s">
        <v>134</v>
      </c>
      <c r="P376" t="s">
        <v>13</v>
      </c>
      <c r="Q376" t="s">
        <v>14</v>
      </c>
      <c r="R376" t="s">
        <v>325</v>
      </c>
      <c r="S376" t="s">
        <v>8</v>
      </c>
      <c r="T376" t="s">
        <v>329</v>
      </c>
      <c r="U376">
        <f>Sales_Order[[#This Row],[Quantity ordered]]*Sales_Order[[#This Row],[Price each]]</f>
        <v>3400</v>
      </c>
    </row>
    <row r="377" spans="1:21" x14ac:dyDescent="0.3">
      <c r="A377">
        <v>10139</v>
      </c>
      <c r="B377">
        <v>41</v>
      </c>
      <c r="C377">
        <v>100</v>
      </c>
      <c r="D377">
        <v>8</v>
      </c>
      <c r="E377" s="1">
        <v>37818</v>
      </c>
      <c r="F377" t="s">
        <v>0</v>
      </c>
      <c r="G377">
        <v>3</v>
      </c>
      <c r="H377">
        <v>2003</v>
      </c>
      <c r="I377" t="s">
        <v>49</v>
      </c>
      <c r="J377" t="s">
        <v>64</v>
      </c>
      <c r="K377" t="s">
        <v>18</v>
      </c>
      <c r="L377" t="s">
        <v>19</v>
      </c>
      <c r="M377" t="s">
        <v>20</v>
      </c>
      <c r="N377" t="s">
        <v>21</v>
      </c>
      <c r="O377" t="s">
        <v>136</v>
      </c>
      <c r="P377" t="s">
        <v>13</v>
      </c>
      <c r="Q377" t="s">
        <v>14</v>
      </c>
      <c r="R377" t="s">
        <v>335</v>
      </c>
      <c r="S377" t="s">
        <v>17</v>
      </c>
      <c r="T377" t="s">
        <v>339</v>
      </c>
      <c r="U377">
        <f>Sales_Order[[#This Row],[Quantity ordered]]*Sales_Order[[#This Row],[Price each]]</f>
        <v>4100</v>
      </c>
    </row>
    <row r="378" spans="1:21" x14ac:dyDescent="0.3">
      <c r="A378">
        <v>10149</v>
      </c>
      <c r="B378">
        <v>23</v>
      </c>
      <c r="C378">
        <v>100</v>
      </c>
      <c r="D378">
        <v>5</v>
      </c>
      <c r="E378" s="1">
        <v>37964</v>
      </c>
      <c r="F378" t="s">
        <v>0</v>
      </c>
      <c r="G378">
        <v>3</v>
      </c>
      <c r="H378">
        <v>2003</v>
      </c>
      <c r="I378" t="s">
        <v>49</v>
      </c>
      <c r="J378" t="s">
        <v>64</v>
      </c>
      <c r="K378" t="s">
        <v>286</v>
      </c>
      <c r="L378" t="s">
        <v>287</v>
      </c>
      <c r="M378" t="s">
        <v>288</v>
      </c>
      <c r="N378" t="s">
        <v>161</v>
      </c>
      <c r="O378" t="s">
        <v>166</v>
      </c>
      <c r="P378" t="s">
        <v>5</v>
      </c>
      <c r="Q378" t="s">
        <v>6</v>
      </c>
      <c r="R378" t="s">
        <v>369</v>
      </c>
      <c r="S378" t="s">
        <v>8</v>
      </c>
      <c r="T378" t="s">
        <v>361</v>
      </c>
      <c r="U378">
        <f>Sales_Order[[#This Row],[Quantity ordered]]*Sales_Order[[#This Row],[Price each]]</f>
        <v>2300</v>
      </c>
    </row>
    <row r="379" spans="1:21" x14ac:dyDescent="0.3">
      <c r="A379">
        <v>10182</v>
      </c>
      <c r="B379">
        <v>21</v>
      </c>
      <c r="C379">
        <v>100</v>
      </c>
      <c r="D379">
        <v>4</v>
      </c>
      <c r="E379" s="1">
        <v>37966</v>
      </c>
      <c r="F379" t="s">
        <v>0</v>
      </c>
      <c r="G379">
        <v>4</v>
      </c>
      <c r="H379">
        <v>2003</v>
      </c>
      <c r="I379" t="s">
        <v>49</v>
      </c>
      <c r="J379" t="s">
        <v>64</v>
      </c>
      <c r="K379" t="s">
        <v>225</v>
      </c>
      <c r="L379" t="s">
        <v>226</v>
      </c>
      <c r="M379" t="s">
        <v>227</v>
      </c>
      <c r="N379" t="s">
        <v>161</v>
      </c>
      <c r="O379" t="s">
        <v>177</v>
      </c>
      <c r="P379" t="s">
        <v>5</v>
      </c>
      <c r="Q379" t="s">
        <v>6</v>
      </c>
      <c r="R379" t="s">
        <v>349</v>
      </c>
      <c r="S379" t="s">
        <v>8</v>
      </c>
      <c r="T379" t="s">
        <v>334</v>
      </c>
      <c r="U379">
        <f>Sales_Order[[#This Row],[Quantity ordered]]*Sales_Order[[#This Row],[Price each]]</f>
        <v>2100</v>
      </c>
    </row>
    <row r="380" spans="1:21" x14ac:dyDescent="0.3">
      <c r="A380">
        <v>10193</v>
      </c>
      <c r="B380">
        <v>22</v>
      </c>
      <c r="C380">
        <v>100</v>
      </c>
      <c r="D380">
        <v>8</v>
      </c>
      <c r="E380" s="1">
        <v>37946</v>
      </c>
      <c r="F380" t="s">
        <v>0</v>
      </c>
      <c r="G380">
        <v>4</v>
      </c>
      <c r="H380">
        <v>2003</v>
      </c>
      <c r="I380" t="s">
        <v>49</v>
      </c>
      <c r="J380" t="s">
        <v>64</v>
      </c>
      <c r="K380" t="s">
        <v>296</v>
      </c>
      <c r="L380" t="s">
        <v>297</v>
      </c>
      <c r="M380" t="s">
        <v>298</v>
      </c>
      <c r="N380" t="s">
        <v>12</v>
      </c>
      <c r="O380" t="s">
        <v>299</v>
      </c>
      <c r="P380" t="s">
        <v>13</v>
      </c>
      <c r="Q380" t="s">
        <v>14</v>
      </c>
      <c r="R380" t="s">
        <v>371</v>
      </c>
      <c r="S380" t="s">
        <v>8</v>
      </c>
      <c r="T380" t="s">
        <v>334</v>
      </c>
      <c r="U380">
        <f>Sales_Order[[#This Row],[Quantity ordered]]*Sales_Order[[#This Row],[Price each]]</f>
        <v>2200</v>
      </c>
    </row>
    <row r="381" spans="1:21" x14ac:dyDescent="0.3">
      <c r="A381">
        <v>10312</v>
      </c>
      <c r="B381">
        <v>25</v>
      </c>
      <c r="C381">
        <v>100</v>
      </c>
      <c r="D381">
        <v>11</v>
      </c>
      <c r="E381" s="1">
        <v>38281</v>
      </c>
      <c r="F381" t="s">
        <v>0</v>
      </c>
      <c r="G381">
        <v>4</v>
      </c>
      <c r="H381">
        <v>2004</v>
      </c>
      <c r="I381" t="s">
        <v>49</v>
      </c>
      <c r="J381" t="s">
        <v>64</v>
      </c>
      <c r="K381" t="s">
        <v>225</v>
      </c>
      <c r="L381" t="s">
        <v>226</v>
      </c>
      <c r="M381" t="s">
        <v>227</v>
      </c>
      <c r="N381" t="s">
        <v>161</v>
      </c>
      <c r="O381" t="s">
        <v>177</v>
      </c>
      <c r="P381" t="s">
        <v>5</v>
      </c>
      <c r="Q381" t="s">
        <v>6</v>
      </c>
      <c r="R381" t="s">
        <v>349</v>
      </c>
      <c r="S381" t="s">
        <v>8</v>
      </c>
      <c r="T381" t="s">
        <v>324</v>
      </c>
      <c r="U381">
        <f>Sales_Order[[#This Row],[Quantity ordered]]*Sales_Order[[#This Row],[Price each]]</f>
        <v>2500</v>
      </c>
    </row>
    <row r="382" spans="1:21" x14ac:dyDescent="0.3">
      <c r="A382">
        <v>10322</v>
      </c>
      <c r="B382">
        <v>36</v>
      </c>
      <c r="C382">
        <v>100</v>
      </c>
      <c r="D382">
        <v>2</v>
      </c>
      <c r="E382" s="1">
        <v>38088</v>
      </c>
      <c r="F382" t="s">
        <v>0</v>
      </c>
      <c r="G382">
        <v>4</v>
      </c>
      <c r="H382">
        <v>2004</v>
      </c>
      <c r="I382" t="s">
        <v>49</v>
      </c>
      <c r="J382" t="s">
        <v>64</v>
      </c>
      <c r="K382" t="s">
        <v>228</v>
      </c>
      <c r="L382" t="s">
        <v>229</v>
      </c>
      <c r="M382" t="s">
        <v>230</v>
      </c>
      <c r="N382" t="s">
        <v>231</v>
      </c>
      <c r="O382" t="s">
        <v>232</v>
      </c>
      <c r="P382" t="s">
        <v>5</v>
      </c>
      <c r="Q382" t="s">
        <v>6</v>
      </c>
      <c r="R382" t="s">
        <v>350</v>
      </c>
      <c r="S382" t="s">
        <v>8</v>
      </c>
      <c r="T382" t="s">
        <v>334</v>
      </c>
      <c r="U382">
        <f>Sales_Order[[#This Row],[Quantity ordered]]*Sales_Order[[#This Row],[Price each]]</f>
        <v>3600</v>
      </c>
    </row>
    <row r="383" spans="1:21" x14ac:dyDescent="0.3">
      <c r="A383">
        <v>10347</v>
      </c>
      <c r="B383">
        <v>21</v>
      </c>
      <c r="C383">
        <v>100</v>
      </c>
      <c r="D383">
        <v>6</v>
      </c>
      <c r="E383" s="1">
        <v>38320</v>
      </c>
      <c r="F383" t="s">
        <v>0</v>
      </c>
      <c r="G383">
        <v>4</v>
      </c>
      <c r="H383">
        <v>2004</v>
      </c>
      <c r="I383" t="s">
        <v>49</v>
      </c>
      <c r="J383" t="s">
        <v>64</v>
      </c>
      <c r="K383" t="s">
        <v>9</v>
      </c>
      <c r="L383" t="s">
        <v>10</v>
      </c>
      <c r="M383" t="s">
        <v>11</v>
      </c>
      <c r="N383" t="s">
        <v>12</v>
      </c>
      <c r="O383" t="s">
        <v>134</v>
      </c>
      <c r="P383" t="s">
        <v>13</v>
      </c>
      <c r="Q383" t="s">
        <v>14</v>
      </c>
      <c r="R383" t="s">
        <v>325</v>
      </c>
      <c r="S383" t="s">
        <v>8</v>
      </c>
      <c r="T383" t="s">
        <v>334</v>
      </c>
      <c r="U383">
        <f>Sales_Order[[#This Row],[Quantity ordered]]*Sales_Order[[#This Row],[Price each]]</f>
        <v>2100</v>
      </c>
    </row>
    <row r="384" spans="1:21" x14ac:dyDescent="0.3">
      <c r="A384">
        <v>10367</v>
      </c>
      <c r="B384">
        <v>32</v>
      </c>
      <c r="C384">
        <v>94.79</v>
      </c>
      <c r="D384">
        <v>7</v>
      </c>
      <c r="E384" s="1">
        <v>38687</v>
      </c>
      <c r="F384" t="s">
        <v>276</v>
      </c>
      <c r="G384">
        <v>1</v>
      </c>
      <c r="H384">
        <v>2005</v>
      </c>
      <c r="I384" t="s">
        <v>49</v>
      </c>
      <c r="J384" t="s">
        <v>64</v>
      </c>
      <c r="K384" t="s">
        <v>158</v>
      </c>
      <c r="L384" t="s">
        <v>159</v>
      </c>
      <c r="M384" t="s">
        <v>160</v>
      </c>
      <c r="N384" t="s">
        <v>161</v>
      </c>
      <c r="O384" t="s">
        <v>162</v>
      </c>
      <c r="P384" t="s">
        <v>5</v>
      </c>
      <c r="Q384" t="s">
        <v>6</v>
      </c>
      <c r="R384" t="s">
        <v>321</v>
      </c>
      <c r="S384" t="s">
        <v>8</v>
      </c>
      <c r="T384" t="s">
        <v>345</v>
      </c>
      <c r="U384">
        <f>Sales_Order[[#This Row],[Quantity ordered]]*Sales_Order[[#This Row],[Price each]]</f>
        <v>3033.28</v>
      </c>
    </row>
    <row r="385" spans="1:21" x14ac:dyDescent="0.3">
      <c r="A385">
        <v>10390</v>
      </c>
      <c r="B385">
        <v>26</v>
      </c>
      <c r="C385">
        <v>78.11</v>
      </c>
      <c r="D385">
        <v>7</v>
      </c>
      <c r="E385" s="1">
        <v>38445</v>
      </c>
      <c r="F385" t="s">
        <v>0</v>
      </c>
      <c r="G385">
        <v>1</v>
      </c>
      <c r="H385">
        <v>2005</v>
      </c>
      <c r="I385" t="s">
        <v>49</v>
      </c>
      <c r="J385" t="s">
        <v>64</v>
      </c>
      <c r="K385" t="s">
        <v>225</v>
      </c>
      <c r="L385" t="s">
        <v>226</v>
      </c>
      <c r="M385" t="s">
        <v>227</v>
      </c>
      <c r="N385" t="s">
        <v>161</v>
      </c>
      <c r="O385" t="s">
        <v>177</v>
      </c>
      <c r="P385" t="s">
        <v>5</v>
      </c>
      <c r="Q385" t="s">
        <v>6</v>
      </c>
      <c r="R385" t="s">
        <v>349</v>
      </c>
      <c r="S385" t="s">
        <v>7</v>
      </c>
      <c r="T385" t="s">
        <v>338</v>
      </c>
      <c r="U385">
        <f>Sales_Order[[#This Row],[Quantity ordered]]*Sales_Order[[#This Row],[Price each]]</f>
        <v>2030.86</v>
      </c>
    </row>
    <row r="386" spans="1:21" x14ac:dyDescent="0.3">
      <c r="A386">
        <v>10421</v>
      </c>
      <c r="B386">
        <v>35</v>
      </c>
      <c r="C386">
        <v>100</v>
      </c>
      <c r="D386">
        <v>1</v>
      </c>
      <c r="E386" s="1">
        <v>38501</v>
      </c>
      <c r="F386" t="s">
        <v>29</v>
      </c>
      <c r="G386">
        <v>2</v>
      </c>
      <c r="H386">
        <v>2005</v>
      </c>
      <c r="I386" t="s">
        <v>49</v>
      </c>
      <c r="J386" t="s">
        <v>64</v>
      </c>
      <c r="K386" t="s">
        <v>225</v>
      </c>
      <c r="L386" t="s">
        <v>226</v>
      </c>
      <c r="M386" t="s">
        <v>227</v>
      </c>
      <c r="N386" t="s">
        <v>161</v>
      </c>
      <c r="O386" t="s">
        <v>177</v>
      </c>
      <c r="P386" t="s">
        <v>5</v>
      </c>
      <c r="Q386" t="s">
        <v>6</v>
      </c>
      <c r="R386" t="s">
        <v>349</v>
      </c>
      <c r="S386" t="s">
        <v>8</v>
      </c>
      <c r="T386" t="s">
        <v>329</v>
      </c>
      <c r="U386">
        <f>Sales_Order[[#This Row],[Quantity ordered]]*Sales_Order[[#This Row],[Price each]]</f>
        <v>3500</v>
      </c>
    </row>
    <row r="387" spans="1:21" x14ac:dyDescent="0.3">
      <c r="A387">
        <v>10109</v>
      </c>
      <c r="B387">
        <v>26</v>
      </c>
      <c r="C387">
        <v>100</v>
      </c>
      <c r="D387">
        <v>1</v>
      </c>
      <c r="E387" s="1">
        <v>37897</v>
      </c>
      <c r="F387" t="s">
        <v>0</v>
      </c>
      <c r="G387">
        <v>1</v>
      </c>
      <c r="H387">
        <v>2003</v>
      </c>
      <c r="I387" t="s">
        <v>22</v>
      </c>
      <c r="J387" t="s">
        <v>65</v>
      </c>
      <c r="K387" t="s">
        <v>246</v>
      </c>
      <c r="L387" t="s">
        <v>247</v>
      </c>
      <c r="M387" t="s">
        <v>203</v>
      </c>
      <c r="N387" t="s">
        <v>186</v>
      </c>
      <c r="O387" t="s">
        <v>204</v>
      </c>
      <c r="P387" t="s">
        <v>5</v>
      </c>
      <c r="Q387" t="s">
        <v>6</v>
      </c>
      <c r="R387" t="s">
        <v>355</v>
      </c>
      <c r="S387" t="s">
        <v>8</v>
      </c>
      <c r="T387" t="s">
        <v>338</v>
      </c>
      <c r="U387">
        <f>Sales_Order[[#This Row],[Quantity ordered]]*Sales_Order[[#This Row],[Price each]]</f>
        <v>2600</v>
      </c>
    </row>
    <row r="388" spans="1:21" x14ac:dyDescent="0.3">
      <c r="A388">
        <v>10148</v>
      </c>
      <c r="B388">
        <v>27</v>
      </c>
      <c r="C388">
        <v>100</v>
      </c>
      <c r="D388">
        <v>10</v>
      </c>
      <c r="E388" s="1">
        <v>37934</v>
      </c>
      <c r="F388" t="s">
        <v>0</v>
      </c>
      <c r="G388">
        <v>3</v>
      </c>
      <c r="H388">
        <v>2003</v>
      </c>
      <c r="I388" t="s">
        <v>22</v>
      </c>
      <c r="J388" t="s">
        <v>65</v>
      </c>
      <c r="K388" t="s">
        <v>26</v>
      </c>
      <c r="L388" t="s">
        <v>27</v>
      </c>
      <c r="M388" t="s">
        <v>28</v>
      </c>
      <c r="N388" t="s">
        <v>21</v>
      </c>
      <c r="O388" t="s">
        <v>137</v>
      </c>
      <c r="P388" t="s">
        <v>13</v>
      </c>
      <c r="Q388" t="s">
        <v>14</v>
      </c>
      <c r="R388" t="s">
        <v>352</v>
      </c>
      <c r="S388" t="s">
        <v>8</v>
      </c>
      <c r="T388" t="s">
        <v>361</v>
      </c>
      <c r="U388">
        <f>Sales_Order[[#This Row],[Quantity ordered]]*Sales_Order[[#This Row],[Price each]]</f>
        <v>2700</v>
      </c>
    </row>
    <row r="389" spans="1:21" x14ac:dyDescent="0.3">
      <c r="A389">
        <v>10172</v>
      </c>
      <c r="B389">
        <v>39</v>
      </c>
      <c r="C389">
        <v>100</v>
      </c>
      <c r="D389">
        <v>7</v>
      </c>
      <c r="E389" s="1">
        <v>37752</v>
      </c>
      <c r="F389" t="s">
        <v>0</v>
      </c>
      <c r="G389">
        <v>4</v>
      </c>
      <c r="H389">
        <v>2003</v>
      </c>
      <c r="I389" t="s">
        <v>22</v>
      </c>
      <c r="J389" t="s">
        <v>65</v>
      </c>
      <c r="K389" t="s">
        <v>173</v>
      </c>
      <c r="L389" t="s">
        <v>174</v>
      </c>
      <c r="M389" t="s">
        <v>175</v>
      </c>
      <c r="N389" t="s">
        <v>176</v>
      </c>
      <c r="O389" t="s">
        <v>177</v>
      </c>
      <c r="P389" t="s">
        <v>5</v>
      </c>
      <c r="Q389" t="s">
        <v>6</v>
      </c>
      <c r="R389" t="s">
        <v>330</v>
      </c>
      <c r="S389" t="s">
        <v>8</v>
      </c>
      <c r="T389" t="s">
        <v>334</v>
      </c>
      <c r="U389">
        <f>Sales_Order[[#This Row],[Quantity ordered]]*Sales_Order[[#This Row],[Price each]]</f>
        <v>3900</v>
      </c>
    </row>
    <row r="390" spans="1:21" x14ac:dyDescent="0.3">
      <c r="A390">
        <v>10192</v>
      </c>
      <c r="B390">
        <v>38</v>
      </c>
      <c r="C390">
        <v>100</v>
      </c>
      <c r="D390">
        <v>8</v>
      </c>
      <c r="E390" s="1">
        <v>37945</v>
      </c>
      <c r="F390" t="s">
        <v>0</v>
      </c>
      <c r="G390">
        <v>4</v>
      </c>
      <c r="H390">
        <v>2003</v>
      </c>
      <c r="I390" t="s">
        <v>22</v>
      </c>
      <c r="J390" t="s">
        <v>65</v>
      </c>
      <c r="K390" t="s">
        <v>228</v>
      </c>
      <c r="L390" t="s">
        <v>229</v>
      </c>
      <c r="M390" t="s">
        <v>230</v>
      </c>
      <c r="N390" t="s">
        <v>231</v>
      </c>
      <c r="O390" t="s">
        <v>232</v>
      </c>
      <c r="P390" t="s">
        <v>5</v>
      </c>
      <c r="Q390" t="s">
        <v>6</v>
      </c>
      <c r="R390" t="s">
        <v>350</v>
      </c>
      <c r="S390" t="s">
        <v>8</v>
      </c>
      <c r="T390" t="s">
        <v>334</v>
      </c>
      <c r="U390">
        <f>Sales_Order[[#This Row],[Quantity ordered]]*Sales_Order[[#This Row],[Price each]]</f>
        <v>3800</v>
      </c>
    </row>
    <row r="391" spans="1:21" x14ac:dyDescent="0.3">
      <c r="A391">
        <v>10204</v>
      </c>
      <c r="B391">
        <v>27</v>
      </c>
      <c r="C391">
        <v>100</v>
      </c>
      <c r="D391">
        <v>14</v>
      </c>
      <c r="E391" s="1">
        <v>37664</v>
      </c>
      <c r="F391" t="s">
        <v>0</v>
      </c>
      <c r="G391">
        <v>4</v>
      </c>
      <c r="H391">
        <v>2003</v>
      </c>
      <c r="I391" t="s">
        <v>22</v>
      </c>
      <c r="J391" t="s">
        <v>65</v>
      </c>
      <c r="K391" t="s">
        <v>36</v>
      </c>
      <c r="L391" t="s">
        <v>37</v>
      </c>
      <c r="M391" t="s">
        <v>3</v>
      </c>
      <c r="N391" t="s">
        <v>4</v>
      </c>
      <c r="O391" t="s">
        <v>135</v>
      </c>
      <c r="P391" t="s">
        <v>5</v>
      </c>
      <c r="Q391" t="s">
        <v>6</v>
      </c>
      <c r="R391" t="s">
        <v>366</v>
      </c>
      <c r="S391" t="s">
        <v>8</v>
      </c>
      <c r="T391" t="s">
        <v>336</v>
      </c>
      <c r="U391">
        <f>Sales_Order[[#This Row],[Quantity ordered]]*Sales_Order[[#This Row],[Price each]]</f>
        <v>2700</v>
      </c>
    </row>
    <row r="392" spans="1:21" x14ac:dyDescent="0.3">
      <c r="A392">
        <v>10226</v>
      </c>
      <c r="B392">
        <v>24</v>
      </c>
      <c r="C392">
        <v>100</v>
      </c>
      <c r="D392">
        <v>5</v>
      </c>
      <c r="E392" s="1">
        <v>38043</v>
      </c>
      <c r="F392" t="s">
        <v>0</v>
      </c>
      <c r="G392">
        <v>1</v>
      </c>
      <c r="H392">
        <v>2004</v>
      </c>
      <c r="I392" t="s">
        <v>22</v>
      </c>
      <c r="J392" t="s">
        <v>65</v>
      </c>
      <c r="K392" t="s">
        <v>255</v>
      </c>
      <c r="L392" t="s">
        <v>256</v>
      </c>
      <c r="M392" t="s">
        <v>257</v>
      </c>
      <c r="N392" t="s">
        <v>161</v>
      </c>
      <c r="O392" t="s">
        <v>258</v>
      </c>
      <c r="P392" t="s">
        <v>5</v>
      </c>
      <c r="Q392" t="s">
        <v>6</v>
      </c>
      <c r="R392" t="s">
        <v>358</v>
      </c>
      <c r="S392" t="s">
        <v>8</v>
      </c>
      <c r="T392" t="s">
        <v>320</v>
      </c>
      <c r="U392">
        <f>Sales_Order[[#This Row],[Quantity ordered]]*Sales_Order[[#This Row],[Price each]]</f>
        <v>2400</v>
      </c>
    </row>
    <row r="393" spans="1:21" x14ac:dyDescent="0.3">
      <c r="A393">
        <v>10278</v>
      </c>
      <c r="B393">
        <v>39</v>
      </c>
      <c r="C393">
        <v>100</v>
      </c>
      <c r="D393">
        <v>3</v>
      </c>
      <c r="E393" s="1">
        <v>38146</v>
      </c>
      <c r="F393" t="s">
        <v>0</v>
      </c>
      <c r="G393">
        <v>3</v>
      </c>
      <c r="H393">
        <v>2004</v>
      </c>
      <c r="I393" t="s">
        <v>22</v>
      </c>
      <c r="J393" t="s">
        <v>65</v>
      </c>
      <c r="K393" t="s">
        <v>290</v>
      </c>
      <c r="L393" t="s">
        <v>291</v>
      </c>
      <c r="M393" t="s">
        <v>292</v>
      </c>
      <c r="N393" t="s">
        <v>293</v>
      </c>
      <c r="O393" t="s">
        <v>294</v>
      </c>
      <c r="P393" t="s">
        <v>5</v>
      </c>
      <c r="Q393" t="s">
        <v>6</v>
      </c>
      <c r="R393" t="s">
        <v>370</v>
      </c>
      <c r="S393" t="s">
        <v>8</v>
      </c>
      <c r="T393" t="s">
        <v>322</v>
      </c>
      <c r="U393">
        <f>Sales_Order[[#This Row],[Quantity ordered]]*Sales_Order[[#This Row],[Price each]]</f>
        <v>3900</v>
      </c>
    </row>
    <row r="394" spans="1:21" x14ac:dyDescent="0.3">
      <c r="A394">
        <v>10321</v>
      </c>
      <c r="B394">
        <v>27</v>
      </c>
      <c r="C394">
        <v>100</v>
      </c>
      <c r="D394">
        <v>7</v>
      </c>
      <c r="E394" s="1">
        <v>38088</v>
      </c>
      <c r="F394" t="s">
        <v>0</v>
      </c>
      <c r="G394">
        <v>4</v>
      </c>
      <c r="H394">
        <v>2004</v>
      </c>
      <c r="I394" t="s">
        <v>22</v>
      </c>
      <c r="J394" t="s">
        <v>65</v>
      </c>
      <c r="K394" t="s">
        <v>189</v>
      </c>
      <c r="L394" t="s">
        <v>190</v>
      </c>
      <c r="M394" t="s">
        <v>191</v>
      </c>
      <c r="N394" t="s">
        <v>181</v>
      </c>
      <c r="O394" t="s">
        <v>192</v>
      </c>
      <c r="P394" t="s">
        <v>5</v>
      </c>
      <c r="Q394" t="s">
        <v>6</v>
      </c>
      <c r="R394" t="s">
        <v>337</v>
      </c>
      <c r="S394" t="s">
        <v>7</v>
      </c>
      <c r="T394" t="s">
        <v>334</v>
      </c>
      <c r="U394">
        <f>Sales_Order[[#This Row],[Quantity ordered]]*Sales_Order[[#This Row],[Price each]]</f>
        <v>2700</v>
      </c>
    </row>
    <row r="395" spans="1:21" x14ac:dyDescent="0.3">
      <c r="A395">
        <v>10331</v>
      </c>
      <c r="B395">
        <v>26</v>
      </c>
      <c r="C395">
        <v>64.900000000000006</v>
      </c>
      <c r="D395">
        <v>10</v>
      </c>
      <c r="E395" s="1">
        <v>38308</v>
      </c>
      <c r="F395" t="s">
        <v>0</v>
      </c>
      <c r="G395">
        <v>4</v>
      </c>
      <c r="H395">
        <v>2004</v>
      </c>
      <c r="I395" t="s">
        <v>22</v>
      </c>
      <c r="J395" t="s">
        <v>65</v>
      </c>
      <c r="K395" t="s">
        <v>246</v>
      </c>
      <c r="L395" t="s">
        <v>247</v>
      </c>
      <c r="M395" t="s">
        <v>203</v>
      </c>
      <c r="N395" t="s">
        <v>186</v>
      </c>
      <c r="O395" t="s">
        <v>204</v>
      </c>
      <c r="P395" t="s">
        <v>5</v>
      </c>
      <c r="Q395" t="s">
        <v>6</v>
      </c>
      <c r="R395" t="s">
        <v>355</v>
      </c>
      <c r="S395" t="s">
        <v>7</v>
      </c>
      <c r="T395" t="s">
        <v>334</v>
      </c>
      <c r="U395">
        <f>Sales_Order[[#This Row],[Quantity ordered]]*Sales_Order[[#This Row],[Price each]]</f>
        <v>1687.4</v>
      </c>
    </row>
    <row r="396" spans="1:21" x14ac:dyDescent="0.3">
      <c r="A396">
        <v>10407</v>
      </c>
      <c r="B396">
        <v>41</v>
      </c>
      <c r="C396">
        <v>100</v>
      </c>
      <c r="D396">
        <v>12</v>
      </c>
      <c r="E396" s="1">
        <v>38464</v>
      </c>
      <c r="F396" t="s">
        <v>275</v>
      </c>
      <c r="G396">
        <v>2</v>
      </c>
      <c r="H396">
        <v>2005</v>
      </c>
      <c r="I396" t="s">
        <v>22</v>
      </c>
      <c r="J396" t="s">
        <v>65</v>
      </c>
      <c r="K396" t="s">
        <v>272</v>
      </c>
      <c r="L396" t="s">
        <v>273</v>
      </c>
      <c r="M396" t="s">
        <v>274</v>
      </c>
      <c r="N396" t="s">
        <v>161</v>
      </c>
      <c r="O396" t="s">
        <v>166</v>
      </c>
      <c r="P396" t="s">
        <v>5</v>
      </c>
      <c r="Q396" t="s">
        <v>6</v>
      </c>
      <c r="R396" t="s">
        <v>363</v>
      </c>
      <c r="S396" t="s">
        <v>8</v>
      </c>
      <c r="T396" t="s">
        <v>327</v>
      </c>
      <c r="U396">
        <f>Sales_Order[[#This Row],[Quantity ordered]]*Sales_Order[[#This Row],[Price each]]</f>
        <v>4100</v>
      </c>
    </row>
    <row r="397" spans="1:21" x14ac:dyDescent="0.3">
      <c r="A397">
        <v>10139</v>
      </c>
      <c r="B397">
        <v>46</v>
      </c>
      <c r="C397">
        <v>100</v>
      </c>
      <c r="D397">
        <v>1</v>
      </c>
      <c r="E397" s="1">
        <v>37818</v>
      </c>
      <c r="F397" t="s">
        <v>0</v>
      </c>
      <c r="G397">
        <v>3</v>
      </c>
      <c r="H397">
        <v>2003</v>
      </c>
      <c r="I397" t="s">
        <v>49</v>
      </c>
      <c r="J397" t="s">
        <v>66</v>
      </c>
      <c r="K397" t="s">
        <v>18</v>
      </c>
      <c r="L397" t="s">
        <v>19</v>
      </c>
      <c r="M397" t="s">
        <v>20</v>
      </c>
      <c r="N397" t="s">
        <v>21</v>
      </c>
      <c r="O397" t="s">
        <v>136</v>
      </c>
      <c r="P397" t="s">
        <v>13</v>
      </c>
      <c r="Q397" t="s">
        <v>14</v>
      </c>
      <c r="R397" t="s">
        <v>335</v>
      </c>
      <c r="S397" t="s">
        <v>8</v>
      </c>
      <c r="T397" t="s">
        <v>339</v>
      </c>
      <c r="U397">
        <f>Sales_Order[[#This Row],[Quantity ordered]]*Sales_Order[[#This Row],[Price each]]</f>
        <v>4600</v>
      </c>
    </row>
    <row r="398" spans="1:21" x14ac:dyDescent="0.3">
      <c r="A398">
        <v>10163</v>
      </c>
      <c r="B398">
        <v>31</v>
      </c>
      <c r="C398">
        <v>100</v>
      </c>
      <c r="D398">
        <v>2</v>
      </c>
      <c r="E398" s="1">
        <v>37914</v>
      </c>
      <c r="F398" t="s">
        <v>0</v>
      </c>
      <c r="G398">
        <v>4</v>
      </c>
      <c r="H398">
        <v>2003</v>
      </c>
      <c r="I398" t="s">
        <v>49</v>
      </c>
      <c r="J398" t="s">
        <v>66</v>
      </c>
      <c r="K398" t="s">
        <v>24</v>
      </c>
      <c r="L398" t="s">
        <v>25</v>
      </c>
      <c r="M398" t="s">
        <v>3</v>
      </c>
      <c r="N398" t="s">
        <v>4</v>
      </c>
      <c r="O398" t="s">
        <v>135</v>
      </c>
      <c r="P398" t="s">
        <v>5</v>
      </c>
      <c r="Q398" t="s">
        <v>6</v>
      </c>
      <c r="R398" t="s">
        <v>340</v>
      </c>
      <c r="S398" t="s">
        <v>8</v>
      </c>
      <c r="T398" t="s">
        <v>324</v>
      </c>
      <c r="U398">
        <f>Sales_Order[[#This Row],[Quantity ordered]]*Sales_Order[[#This Row],[Price each]]</f>
        <v>3100</v>
      </c>
    </row>
    <row r="399" spans="1:21" x14ac:dyDescent="0.3">
      <c r="A399">
        <v>10174</v>
      </c>
      <c r="B399">
        <v>46</v>
      </c>
      <c r="C399">
        <v>100</v>
      </c>
      <c r="D399">
        <v>5</v>
      </c>
      <c r="E399" s="1">
        <v>37783</v>
      </c>
      <c r="F399" t="s">
        <v>0</v>
      </c>
      <c r="G399">
        <v>4</v>
      </c>
      <c r="H399">
        <v>2003</v>
      </c>
      <c r="I399" t="s">
        <v>49</v>
      </c>
      <c r="J399" t="s">
        <v>66</v>
      </c>
      <c r="K399" t="s">
        <v>196</v>
      </c>
      <c r="L399" t="s">
        <v>197</v>
      </c>
      <c r="M399" t="s">
        <v>198</v>
      </c>
      <c r="N399" t="s">
        <v>199</v>
      </c>
      <c r="O399" t="s">
        <v>200</v>
      </c>
      <c r="P399" t="s">
        <v>13</v>
      </c>
      <c r="Q399" t="s">
        <v>14</v>
      </c>
      <c r="R399" t="s">
        <v>341</v>
      </c>
      <c r="S399" t="s">
        <v>8</v>
      </c>
      <c r="T399" t="s">
        <v>334</v>
      </c>
      <c r="U399">
        <f>Sales_Order[[#This Row],[Quantity ordered]]*Sales_Order[[#This Row],[Price each]]</f>
        <v>4600</v>
      </c>
    </row>
    <row r="400" spans="1:21" x14ac:dyDescent="0.3">
      <c r="A400">
        <v>10183</v>
      </c>
      <c r="B400">
        <v>37</v>
      </c>
      <c r="C400">
        <v>89.15</v>
      </c>
      <c r="D400">
        <v>9</v>
      </c>
      <c r="E400" s="1">
        <v>37938</v>
      </c>
      <c r="F400" t="s">
        <v>0</v>
      </c>
      <c r="G400">
        <v>4</v>
      </c>
      <c r="H400">
        <v>2003</v>
      </c>
      <c r="I400" t="s">
        <v>49</v>
      </c>
      <c r="J400" t="s">
        <v>66</v>
      </c>
      <c r="K400" t="s">
        <v>201</v>
      </c>
      <c r="L400" t="s">
        <v>202</v>
      </c>
      <c r="M400" t="s">
        <v>203</v>
      </c>
      <c r="N400" t="s">
        <v>186</v>
      </c>
      <c r="O400" t="s">
        <v>204</v>
      </c>
      <c r="P400" t="s">
        <v>5</v>
      </c>
      <c r="Q400" t="s">
        <v>6</v>
      </c>
      <c r="R400" t="s">
        <v>342</v>
      </c>
      <c r="S400" t="s">
        <v>8</v>
      </c>
      <c r="T400" t="s">
        <v>334</v>
      </c>
      <c r="U400">
        <f>Sales_Order[[#This Row],[Quantity ordered]]*Sales_Order[[#This Row],[Price each]]</f>
        <v>3298.55</v>
      </c>
    </row>
    <row r="401" spans="1:21" x14ac:dyDescent="0.3">
      <c r="A401">
        <v>10193</v>
      </c>
      <c r="B401">
        <v>28</v>
      </c>
      <c r="C401">
        <v>93.21</v>
      </c>
      <c r="D401">
        <v>1</v>
      </c>
      <c r="E401" s="1">
        <v>37946</v>
      </c>
      <c r="F401" t="s">
        <v>0</v>
      </c>
      <c r="G401">
        <v>4</v>
      </c>
      <c r="H401">
        <v>2003</v>
      </c>
      <c r="I401" t="s">
        <v>49</v>
      </c>
      <c r="J401" t="s">
        <v>66</v>
      </c>
      <c r="K401" t="s">
        <v>296</v>
      </c>
      <c r="L401" t="s">
        <v>297</v>
      </c>
      <c r="M401" t="s">
        <v>298</v>
      </c>
      <c r="N401" t="s">
        <v>12</v>
      </c>
      <c r="O401" t="s">
        <v>299</v>
      </c>
      <c r="P401" t="s">
        <v>13</v>
      </c>
      <c r="Q401" t="s">
        <v>14</v>
      </c>
      <c r="R401" t="s">
        <v>371</v>
      </c>
      <c r="S401" t="s">
        <v>7</v>
      </c>
      <c r="T401" t="s">
        <v>334</v>
      </c>
      <c r="U401">
        <f>Sales_Order[[#This Row],[Quantity ordered]]*Sales_Order[[#This Row],[Price each]]</f>
        <v>2609.8799999999997</v>
      </c>
    </row>
    <row r="402" spans="1:21" x14ac:dyDescent="0.3">
      <c r="A402">
        <v>10206</v>
      </c>
      <c r="B402">
        <v>37</v>
      </c>
      <c r="C402">
        <v>90.17</v>
      </c>
      <c r="D402">
        <v>7</v>
      </c>
      <c r="E402" s="1">
        <v>37753</v>
      </c>
      <c r="F402" t="s">
        <v>0</v>
      </c>
      <c r="G402">
        <v>4</v>
      </c>
      <c r="H402">
        <v>2003</v>
      </c>
      <c r="I402" t="s">
        <v>49</v>
      </c>
      <c r="J402" t="s">
        <v>66</v>
      </c>
      <c r="K402" t="s">
        <v>205</v>
      </c>
      <c r="L402" t="s">
        <v>206</v>
      </c>
      <c r="M402" t="s">
        <v>207</v>
      </c>
      <c r="N402" t="s">
        <v>208</v>
      </c>
      <c r="O402" t="s">
        <v>209</v>
      </c>
      <c r="P402" t="s">
        <v>210</v>
      </c>
      <c r="Q402" t="s">
        <v>6</v>
      </c>
      <c r="R402" t="s">
        <v>343</v>
      </c>
      <c r="S402" t="s">
        <v>8</v>
      </c>
      <c r="T402" t="s">
        <v>336</v>
      </c>
      <c r="U402">
        <f>Sales_Order[[#This Row],[Quantity ordered]]*Sales_Order[[#This Row],[Price each]]</f>
        <v>3336.29</v>
      </c>
    </row>
    <row r="403" spans="1:21" x14ac:dyDescent="0.3">
      <c r="A403">
        <v>10215</v>
      </c>
      <c r="B403">
        <v>49</v>
      </c>
      <c r="C403">
        <v>100</v>
      </c>
      <c r="D403">
        <v>4</v>
      </c>
      <c r="E403" s="1">
        <v>38015</v>
      </c>
      <c r="F403" t="s">
        <v>0</v>
      </c>
      <c r="G403">
        <v>1</v>
      </c>
      <c r="H403">
        <v>2004</v>
      </c>
      <c r="I403" t="s">
        <v>49</v>
      </c>
      <c r="J403" t="s">
        <v>66</v>
      </c>
      <c r="K403" t="s">
        <v>211</v>
      </c>
      <c r="L403" t="s">
        <v>212</v>
      </c>
      <c r="M403" t="s">
        <v>213</v>
      </c>
      <c r="N403" t="s">
        <v>161</v>
      </c>
      <c r="O403" t="s">
        <v>172</v>
      </c>
      <c r="P403" t="s">
        <v>5</v>
      </c>
      <c r="Q403" t="s">
        <v>6</v>
      </c>
      <c r="R403" t="s">
        <v>344</v>
      </c>
      <c r="S403" t="s">
        <v>8</v>
      </c>
      <c r="T403" t="s">
        <v>345</v>
      </c>
      <c r="U403">
        <f>Sales_Order[[#This Row],[Quantity ordered]]*Sales_Order[[#This Row],[Price each]]</f>
        <v>4900</v>
      </c>
    </row>
    <row r="404" spans="1:21" x14ac:dyDescent="0.3">
      <c r="A404">
        <v>10228</v>
      </c>
      <c r="B404">
        <v>24</v>
      </c>
      <c r="C404">
        <v>100</v>
      </c>
      <c r="D404">
        <v>3</v>
      </c>
      <c r="E404" s="1">
        <v>38263</v>
      </c>
      <c r="F404" t="s">
        <v>0</v>
      </c>
      <c r="G404">
        <v>1</v>
      </c>
      <c r="H404">
        <v>2004</v>
      </c>
      <c r="I404" t="s">
        <v>49</v>
      </c>
      <c r="J404" t="s">
        <v>66</v>
      </c>
      <c r="K404" t="s">
        <v>214</v>
      </c>
      <c r="L404" t="s">
        <v>215</v>
      </c>
      <c r="M404" t="s">
        <v>180</v>
      </c>
      <c r="N404" t="s">
        <v>181</v>
      </c>
      <c r="O404" t="s">
        <v>182</v>
      </c>
      <c r="P404" t="s">
        <v>5</v>
      </c>
      <c r="Q404" t="s">
        <v>6</v>
      </c>
      <c r="R404" t="s">
        <v>346</v>
      </c>
      <c r="S404" t="s">
        <v>7</v>
      </c>
      <c r="T404" t="s">
        <v>338</v>
      </c>
      <c r="U404">
        <f>Sales_Order[[#This Row],[Quantity ordered]]*Sales_Order[[#This Row],[Price each]]</f>
        <v>2400</v>
      </c>
    </row>
    <row r="405" spans="1:21" x14ac:dyDescent="0.3">
      <c r="A405">
        <v>10257</v>
      </c>
      <c r="B405">
        <v>50</v>
      </c>
      <c r="C405">
        <v>88.14</v>
      </c>
      <c r="D405">
        <v>1</v>
      </c>
      <c r="E405" s="1">
        <v>38152</v>
      </c>
      <c r="F405" t="s">
        <v>0</v>
      </c>
      <c r="G405">
        <v>2</v>
      </c>
      <c r="H405">
        <v>2004</v>
      </c>
      <c r="I405" t="s">
        <v>49</v>
      </c>
      <c r="J405" t="s">
        <v>66</v>
      </c>
      <c r="K405" t="s">
        <v>272</v>
      </c>
      <c r="L405" t="s">
        <v>273</v>
      </c>
      <c r="M405" t="s">
        <v>274</v>
      </c>
      <c r="N405" t="s">
        <v>161</v>
      </c>
      <c r="O405" t="s">
        <v>166</v>
      </c>
      <c r="P405" t="s">
        <v>5</v>
      </c>
      <c r="Q405" t="s">
        <v>6</v>
      </c>
      <c r="R405" t="s">
        <v>363</v>
      </c>
      <c r="S405" t="s">
        <v>8</v>
      </c>
      <c r="T405" t="s">
        <v>331</v>
      </c>
      <c r="U405">
        <f>Sales_Order[[#This Row],[Quantity ordered]]*Sales_Order[[#This Row],[Price each]]</f>
        <v>4407</v>
      </c>
    </row>
    <row r="406" spans="1:21" x14ac:dyDescent="0.3">
      <c r="A406">
        <v>10270</v>
      </c>
      <c r="B406">
        <v>31</v>
      </c>
      <c r="C406">
        <v>96.24</v>
      </c>
      <c r="D406">
        <v>10</v>
      </c>
      <c r="E406" s="1">
        <v>38187</v>
      </c>
      <c r="F406" t="s">
        <v>0</v>
      </c>
      <c r="G406">
        <v>3</v>
      </c>
      <c r="H406">
        <v>2004</v>
      </c>
      <c r="I406" t="s">
        <v>49</v>
      </c>
      <c r="J406" t="s">
        <v>66</v>
      </c>
      <c r="K406" t="s">
        <v>18</v>
      </c>
      <c r="L406" t="s">
        <v>19</v>
      </c>
      <c r="M406" t="s">
        <v>20</v>
      </c>
      <c r="N406" t="s">
        <v>21</v>
      </c>
      <c r="O406" t="s">
        <v>136</v>
      </c>
      <c r="P406" t="s">
        <v>13</v>
      </c>
      <c r="Q406" t="s">
        <v>14</v>
      </c>
      <c r="R406" t="s">
        <v>335</v>
      </c>
      <c r="S406" t="s">
        <v>7</v>
      </c>
      <c r="T406" t="s">
        <v>339</v>
      </c>
      <c r="U406">
        <f>Sales_Order[[#This Row],[Quantity ordered]]*Sales_Order[[#This Row],[Price each]]</f>
        <v>2983.44</v>
      </c>
    </row>
    <row r="407" spans="1:21" x14ac:dyDescent="0.3">
      <c r="A407">
        <v>10312</v>
      </c>
      <c r="B407">
        <v>37</v>
      </c>
      <c r="C407">
        <v>100</v>
      </c>
      <c r="D407">
        <v>4</v>
      </c>
      <c r="E407" s="1">
        <v>38281</v>
      </c>
      <c r="F407" t="s">
        <v>0</v>
      </c>
      <c r="G407">
        <v>4</v>
      </c>
      <c r="H407">
        <v>2004</v>
      </c>
      <c r="I407" t="s">
        <v>49</v>
      </c>
      <c r="J407" t="s">
        <v>66</v>
      </c>
      <c r="K407" t="s">
        <v>225</v>
      </c>
      <c r="L407" t="s">
        <v>226</v>
      </c>
      <c r="M407" t="s">
        <v>227</v>
      </c>
      <c r="N407" t="s">
        <v>161</v>
      </c>
      <c r="O407" t="s">
        <v>177</v>
      </c>
      <c r="P407" t="s">
        <v>5</v>
      </c>
      <c r="Q407" t="s">
        <v>6</v>
      </c>
      <c r="R407" t="s">
        <v>349</v>
      </c>
      <c r="S407" t="s">
        <v>8</v>
      </c>
      <c r="T407" t="s">
        <v>324</v>
      </c>
      <c r="U407">
        <f>Sales_Order[[#This Row],[Quantity ordered]]*Sales_Order[[#This Row],[Price each]]</f>
        <v>3700</v>
      </c>
    </row>
    <row r="408" spans="1:21" x14ac:dyDescent="0.3">
      <c r="A408">
        <v>10322</v>
      </c>
      <c r="B408">
        <v>33</v>
      </c>
      <c r="C408">
        <v>100</v>
      </c>
      <c r="D408">
        <v>12</v>
      </c>
      <c r="E408" s="1">
        <v>38088</v>
      </c>
      <c r="F408" t="s">
        <v>0</v>
      </c>
      <c r="G408">
        <v>4</v>
      </c>
      <c r="H408">
        <v>2004</v>
      </c>
      <c r="I408" t="s">
        <v>49</v>
      </c>
      <c r="J408" t="s">
        <v>66</v>
      </c>
      <c r="K408" t="s">
        <v>228</v>
      </c>
      <c r="L408" t="s">
        <v>229</v>
      </c>
      <c r="M408" t="s">
        <v>230</v>
      </c>
      <c r="N408" t="s">
        <v>231</v>
      </c>
      <c r="O408" t="s">
        <v>232</v>
      </c>
      <c r="P408" t="s">
        <v>5</v>
      </c>
      <c r="Q408" t="s">
        <v>6</v>
      </c>
      <c r="R408" t="s">
        <v>350</v>
      </c>
      <c r="S408" t="s">
        <v>8</v>
      </c>
      <c r="T408" t="s">
        <v>334</v>
      </c>
      <c r="U408">
        <f>Sales_Order[[#This Row],[Quantity ordered]]*Sales_Order[[#This Row],[Price each]]</f>
        <v>3300</v>
      </c>
    </row>
    <row r="409" spans="1:21" x14ac:dyDescent="0.3">
      <c r="A409">
        <v>10347</v>
      </c>
      <c r="B409">
        <v>48</v>
      </c>
      <c r="C409">
        <v>100</v>
      </c>
      <c r="D409">
        <v>9</v>
      </c>
      <c r="E409" s="1">
        <v>38320</v>
      </c>
      <c r="F409" t="s">
        <v>0</v>
      </c>
      <c r="G409">
        <v>4</v>
      </c>
      <c r="H409">
        <v>2004</v>
      </c>
      <c r="I409" t="s">
        <v>49</v>
      </c>
      <c r="J409" t="s">
        <v>66</v>
      </c>
      <c r="K409" t="s">
        <v>9</v>
      </c>
      <c r="L409" t="s">
        <v>10</v>
      </c>
      <c r="M409" t="s">
        <v>11</v>
      </c>
      <c r="N409" t="s">
        <v>12</v>
      </c>
      <c r="O409" t="s">
        <v>134</v>
      </c>
      <c r="P409" t="s">
        <v>13</v>
      </c>
      <c r="Q409" t="s">
        <v>14</v>
      </c>
      <c r="R409" t="s">
        <v>325</v>
      </c>
      <c r="S409" t="s">
        <v>8</v>
      </c>
      <c r="T409" t="s">
        <v>334</v>
      </c>
      <c r="U409">
        <f>Sales_Order[[#This Row],[Quantity ordered]]*Sales_Order[[#This Row],[Price each]]</f>
        <v>4800</v>
      </c>
    </row>
    <row r="410" spans="1:21" x14ac:dyDescent="0.3">
      <c r="A410">
        <v>10357</v>
      </c>
      <c r="B410">
        <v>41</v>
      </c>
      <c r="C410">
        <v>87.13</v>
      </c>
      <c r="D410">
        <v>6</v>
      </c>
      <c r="E410" s="1">
        <v>38272</v>
      </c>
      <c r="F410" t="s">
        <v>0</v>
      </c>
      <c r="G410">
        <v>4</v>
      </c>
      <c r="H410">
        <v>2004</v>
      </c>
      <c r="I410" t="s">
        <v>49</v>
      </c>
      <c r="J410" t="s">
        <v>66</v>
      </c>
      <c r="K410" t="s">
        <v>225</v>
      </c>
      <c r="L410" t="s">
        <v>226</v>
      </c>
      <c r="M410" t="s">
        <v>227</v>
      </c>
      <c r="N410" t="s">
        <v>161</v>
      </c>
      <c r="O410" t="s">
        <v>177</v>
      </c>
      <c r="P410" t="s">
        <v>5</v>
      </c>
      <c r="Q410" t="s">
        <v>6</v>
      </c>
      <c r="R410" t="s">
        <v>349</v>
      </c>
      <c r="S410" t="s">
        <v>8</v>
      </c>
      <c r="T410" t="s">
        <v>336</v>
      </c>
      <c r="U410">
        <f>Sales_Order[[#This Row],[Quantity ordered]]*Sales_Order[[#This Row],[Price each]]</f>
        <v>3572.33</v>
      </c>
    </row>
    <row r="411" spans="1:21" x14ac:dyDescent="0.3">
      <c r="A411">
        <v>10369</v>
      </c>
      <c r="B411">
        <v>42</v>
      </c>
      <c r="C411">
        <v>100</v>
      </c>
      <c r="D411">
        <v>1</v>
      </c>
      <c r="E411" s="1">
        <v>38372</v>
      </c>
      <c r="F411" t="s">
        <v>0</v>
      </c>
      <c r="G411">
        <v>1</v>
      </c>
      <c r="H411">
        <v>2005</v>
      </c>
      <c r="I411" t="s">
        <v>49</v>
      </c>
      <c r="J411" t="s">
        <v>66</v>
      </c>
      <c r="K411" t="s">
        <v>233</v>
      </c>
      <c r="L411" t="s">
        <v>234</v>
      </c>
      <c r="M411" t="s">
        <v>235</v>
      </c>
      <c r="N411" t="s">
        <v>181</v>
      </c>
      <c r="O411" t="s">
        <v>236</v>
      </c>
      <c r="P411" t="s">
        <v>5</v>
      </c>
      <c r="Q411" t="s">
        <v>6</v>
      </c>
      <c r="R411" t="s">
        <v>351</v>
      </c>
      <c r="S411" t="s">
        <v>8</v>
      </c>
      <c r="T411" t="s">
        <v>345</v>
      </c>
      <c r="U411">
        <f>Sales_Order[[#This Row],[Quantity ordered]]*Sales_Order[[#This Row],[Price each]]</f>
        <v>4200</v>
      </c>
    </row>
    <row r="412" spans="1:21" x14ac:dyDescent="0.3">
      <c r="A412">
        <v>10391</v>
      </c>
      <c r="B412">
        <v>32</v>
      </c>
      <c r="C412">
        <v>45.25</v>
      </c>
      <c r="D412">
        <v>6</v>
      </c>
      <c r="E412" s="1">
        <v>38598</v>
      </c>
      <c r="F412" t="s">
        <v>0</v>
      </c>
      <c r="G412">
        <v>1</v>
      </c>
      <c r="H412">
        <v>2005</v>
      </c>
      <c r="I412" t="s">
        <v>49</v>
      </c>
      <c r="J412" t="s">
        <v>66</v>
      </c>
      <c r="K412" t="s">
        <v>26</v>
      </c>
      <c r="L412" t="s">
        <v>27</v>
      </c>
      <c r="M412" t="s">
        <v>28</v>
      </c>
      <c r="N412" t="s">
        <v>21</v>
      </c>
      <c r="O412" t="s">
        <v>137</v>
      </c>
      <c r="P412" t="s">
        <v>13</v>
      </c>
      <c r="Q412" t="s">
        <v>14</v>
      </c>
      <c r="R412" t="s">
        <v>352</v>
      </c>
      <c r="S412" t="s">
        <v>7</v>
      </c>
      <c r="T412" t="s">
        <v>338</v>
      </c>
      <c r="U412">
        <f>Sales_Order[[#This Row],[Quantity ordered]]*Sales_Order[[#This Row],[Price each]]</f>
        <v>1448</v>
      </c>
    </row>
    <row r="413" spans="1:21" x14ac:dyDescent="0.3">
      <c r="A413">
        <v>10139</v>
      </c>
      <c r="B413">
        <v>20</v>
      </c>
      <c r="C413">
        <v>71.2</v>
      </c>
      <c r="D413">
        <v>3</v>
      </c>
      <c r="E413" s="1">
        <v>37818</v>
      </c>
      <c r="F413" t="s">
        <v>0</v>
      </c>
      <c r="G413">
        <v>3</v>
      </c>
      <c r="H413">
        <v>2003</v>
      </c>
      <c r="I413" t="s">
        <v>49</v>
      </c>
      <c r="J413" t="s">
        <v>67</v>
      </c>
      <c r="K413" t="s">
        <v>18</v>
      </c>
      <c r="L413" t="s">
        <v>19</v>
      </c>
      <c r="M413" t="s">
        <v>20</v>
      </c>
      <c r="N413" t="s">
        <v>21</v>
      </c>
      <c r="O413" t="s">
        <v>136</v>
      </c>
      <c r="P413" t="s">
        <v>13</v>
      </c>
      <c r="Q413" t="s">
        <v>14</v>
      </c>
      <c r="R413" t="s">
        <v>335</v>
      </c>
      <c r="S413" t="s">
        <v>7</v>
      </c>
      <c r="T413" t="s">
        <v>339</v>
      </c>
      <c r="U413">
        <f>Sales_Order[[#This Row],[Quantity ordered]]*Sales_Order[[#This Row],[Price each]]</f>
        <v>1424</v>
      </c>
    </row>
    <row r="414" spans="1:21" x14ac:dyDescent="0.3">
      <c r="A414">
        <v>10163</v>
      </c>
      <c r="B414">
        <v>48</v>
      </c>
      <c r="C414">
        <v>69.959999999999994</v>
      </c>
      <c r="D414">
        <v>4</v>
      </c>
      <c r="E414" s="1">
        <v>37914</v>
      </c>
      <c r="F414" t="s">
        <v>0</v>
      </c>
      <c r="G414">
        <v>4</v>
      </c>
      <c r="H414">
        <v>2003</v>
      </c>
      <c r="I414" t="s">
        <v>49</v>
      </c>
      <c r="J414" t="s">
        <v>67</v>
      </c>
      <c r="K414" t="s">
        <v>24</v>
      </c>
      <c r="L414" t="s">
        <v>25</v>
      </c>
      <c r="M414" t="s">
        <v>3</v>
      </c>
      <c r="N414" t="s">
        <v>4</v>
      </c>
      <c r="O414" t="s">
        <v>135</v>
      </c>
      <c r="P414" t="s">
        <v>5</v>
      </c>
      <c r="Q414" t="s">
        <v>6</v>
      </c>
      <c r="R414" t="s">
        <v>340</v>
      </c>
      <c r="S414" t="s">
        <v>8</v>
      </c>
      <c r="T414" t="s">
        <v>324</v>
      </c>
      <c r="U414">
        <f>Sales_Order[[#This Row],[Quantity ordered]]*Sales_Order[[#This Row],[Price each]]</f>
        <v>3358.08</v>
      </c>
    </row>
    <row r="415" spans="1:21" x14ac:dyDescent="0.3">
      <c r="A415">
        <v>10183</v>
      </c>
      <c r="B415">
        <v>39</v>
      </c>
      <c r="C415">
        <v>68.08</v>
      </c>
      <c r="D415">
        <v>11</v>
      </c>
      <c r="E415" s="1">
        <v>37938</v>
      </c>
      <c r="F415" t="s">
        <v>0</v>
      </c>
      <c r="G415">
        <v>4</v>
      </c>
      <c r="H415">
        <v>2003</v>
      </c>
      <c r="I415" t="s">
        <v>49</v>
      </c>
      <c r="J415" t="s">
        <v>67</v>
      </c>
      <c r="K415" t="s">
        <v>201</v>
      </c>
      <c r="L415" t="s">
        <v>202</v>
      </c>
      <c r="M415" t="s">
        <v>203</v>
      </c>
      <c r="N415" t="s">
        <v>186</v>
      </c>
      <c r="O415" t="s">
        <v>204</v>
      </c>
      <c r="P415" t="s">
        <v>5</v>
      </c>
      <c r="Q415" t="s">
        <v>6</v>
      </c>
      <c r="R415" t="s">
        <v>342</v>
      </c>
      <c r="S415" t="s">
        <v>7</v>
      </c>
      <c r="T415" t="s">
        <v>334</v>
      </c>
      <c r="U415">
        <f>Sales_Order[[#This Row],[Quantity ordered]]*Sales_Order[[#This Row],[Price each]]</f>
        <v>2655.12</v>
      </c>
    </row>
    <row r="416" spans="1:21" x14ac:dyDescent="0.3">
      <c r="A416">
        <v>10193</v>
      </c>
      <c r="B416">
        <v>24</v>
      </c>
      <c r="C416">
        <v>51.84</v>
      </c>
      <c r="D416">
        <v>3</v>
      </c>
      <c r="E416" s="1">
        <v>37946</v>
      </c>
      <c r="F416" t="s">
        <v>0</v>
      </c>
      <c r="G416">
        <v>4</v>
      </c>
      <c r="H416">
        <v>2003</v>
      </c>
      <c r="I416" t="s">
        <v>49</v>
      </c>
      <c r="J416" t="s">
        <v>67</v>
      </c>
      <c r="K416" t="s">
        <v>296</v>
      </c>
      <c r="L416" t="s">
        <v>297</v>
      </c>
      <c r="M416" t="s">
        <v>298</v>
      </c>
      <c r="N416" t="s">
        <v>12</v>
      </c>
      <c r="O416" t="s">
        <v>299</v>
      </c>
      <c r="P416" t="s">
        <v>13</v>
      </c>
      <c r="Q416" t="s">
        <v>14</v>
      </c>
      <c r="R416" t="s">
        <v>371</v>
      </c>
      <c r="S416" t="s">
        <v>7</v>
      </c>
      <c r="T416" t="s">
        <v>334</v>
      </c>
      <c r="U416">
        <f>Sales_Order[[#This Row],[Quantity ordered]]*Sales_Order[[#This Row],[Price each]]</f>
        <v>1244.1600000000001</v>
      </c>
    </row>
    <row r="417" spans="1:21" x14ac:dyDescent="0.3">
      <c r="A417">
        <v>10206</v>
      </c>
      <c r="B417">
        <v>28</v>
      </c>
      <c r="C417">
        <v>67.459999999999994</v>
      </c>
      <c r="D417">
        <v>9</v>
      </c>
      <c r="E417" s="1">
        <v>37753</v>
      </c>
      <c r="F417" t="s">
        <v>0</v>
      </c>
      <c r="G417">
        <v>4</v>
      </c>
      <c r="H417">
        <v>2003</v>
      </c>
      <c r="I417" t="s">
        <v>49</v>
      </c>
      <c r="J417" t="s">
        <v>67</v>
      </c>
      <c r="K417" t="s">
        <v>205</v>
      </c>
      <c r="L417" t="s">
        <v>206</v>
      </c>
      <c r="M417" t="s">
        <v>207</v>
      </c>
      <c r="N417" t="s">
        <v>208</v>
      </c>
      <c r="O417" t="s">
        <v>209</v>
      </c>
      <c r="P417" t="s">
        <v>210</v>
      </c>
      <c r="Q417" t="s">
        <v>6</v>
      </c>
      <c r="R417" t="s">
        <v>343</v>
      </c>
      <c r="S417" t="s">
        <v>7</v>
      </c>
      <c r="T417" t="s">
        <v>336</v>
      </c>
      <c r="U417">
        <f>Sales_Order[[#This Row],[Quantity ordered]]*Sales_Order[[#This Row],[Price each]]</f>
        <v>1888.8799999999999</v>
      </c>
    </row>
    <row r="418" spans="1:21" x14ac:dyDescent="0.3">
      <c r="A418">
        <v>10215</v>
      </c>
      <c r="B418">
        <v>31</v>
      </c>
      <c r="C418">
        <v>58.71</v>
      </c>
      <c r="D418">
        <v>6</v>
      </c>
      <c r="E418" s="1">
        <v>38015</v>
      </c>
      <c r="F418" t="s">
        <v>0</v>
      </c>
      <c r="G418">
        <v>1</v>
      </c>
      <c r="H418">
        <v>2004</v>
      </c>
      <c r="I418" t="s">
        <v>49</v>
      </c>
      <c r="J418" t="s">
        <v>67</v>
      </c>
      <c r="K418" t="s">
        <v>211</v>
      </c>
      <c r="L418" t="s">
        <v>212</v>
      </c>
      <c r="M418" t="s">
        <v>213</v>
      </c>
      <c r="N418" t="s">
        <v>161</v>
      </c>
      <c r="O418" t="s">
        <v>172</v>
      </c>
      <c r="P418" t="s">
        <v>5</v>
      </c>
      <c r="Q418" t="s">
        <v>6</v>
      </c>
      <c r="R418" t="s">
        <v>344</v>
      </c>
      <c r="S418" t="s">
        <v>7</v>
      </c>
      <c r="T418" t="s">
        <v>345</v>
      </c>
      <c r="U418">
        <f>Sales_Order[[#This Row],[Quantity ordered]]*Sales_Order[[#This Row],[Price each]]</f>
        <v>1820.01</v>
      </c>
    </row>
    <row r="419" spans="1:21" x14ac:dyDescent="0.3">
      <c r="A419">
        <v>10228</v>
      </c>
      <c r="B419">
        <v>45</v>
      </c>
      <c r="C419">
        <v>63.71</v>
      </c>
      <c r="D419">
        <v>5</v>
      </c>
      <c r="E419" s="1">
        <v>38263</v>
      </c>
      <c r="F419" t="s">
        <v>0</v>
      </c>
      <c r="G419">
        <v>1</v>
      </c>
      <c r="H419">
        <v>2004</v>
      </c>
      <c r="I419" t="s">
        <v>49</v>
      </c>
      <c r="J419" t="s">
        <v>67</v>
      </c>
      <c r="K419" t="s">
        <v>214</v>
      </c>
      <c r="L419" t="s">
        <v>215</v>
      </c>
      <c r="M419" t="s">
        <v>180</v>
      </c>
      <c r="N419" t="s">
        <v>181</v>
      </c>
      <c r="O419" t="s">
        <v>182</v>
      </c>
      <c r="P419" t="s">
        <v>5</v>
      </c>
      <c r="Q419" t="s">
        <v>6</v>
      </c>
      <c r="R419" t="s">
        <v>346</v>
      </c>
      <c r="S419" t="s">
        <v>7</v>
      </c>
      <c r="T419" t="s">
        <v>338</v>
      </c>
      <c r="U419">
        <f>Sales_Order[[#This Row],[Quantity ordered]]*Sales_Order[[#This Row],[Price each]]</f>
        <v>2866.95</v>
      </c>
    </row>
    <row r="420" spans="1:21" x14ac:dyDescent="0.3">
      <c r="A420">
        <v>10257</v>
      </c>
      <c r="B420">
        <v>49</v>
      </c>
      <c r="C420">
        <v>53.72</v>
      </c>
      <c r="D420">
        <v>3</v>
      </c>
      <c r="E420" s="1">
        <v>38152</v>
      </c>
      <c r="F420" t="s">
        <v>0</v>
      </c>
      <c r="G420">
        <v>2</v>
      </c>
      <c r="H420">
        <v>2004</v>
      </c>
      <c r="I420" t="s">
        <v>49</v>
      </c>
      <c r="J420" t="s">
        <v>67</v>
      </c>
      <c r="K420" t="s">
        <v>272</v>
      </c>
      <c r="L420" t="s">
        <v>273</v>
      </c>
      <c r="M420" t="s">
        <v>274</v>
      </c>
      <c r="N420" t="s">
        <v>161</v>
      </c>
      <c r="O420" t="s">
        <v>166</v>
      </c>
      <c r="P420" t="s">
        <v>5</v>
      </c>
      <c r="Q420" t="s">
        <v>6</v>
      </c>
      <c r="R420" t="s">
        <v>363</v>
      </c>
      <c r="S420" t="s">
        <v>7</v>
      </c>
      <c r="T420" t="s">
        <v>331</v>
      </c>
      <c r="U420">
        <f>Sales_Order[[#This Row],[Quantity ordered]]*Sales_Order[[#This Row],[Price each]]</f>
        <v>2632.2799999999997</v>
      </c>
    </row>
    <row r="421" spans="1:21" x14ac:dyDescent="0.3">
      <c r="A421">
        <v>10312</v>
      </c>
      <c r="B421">
        <v>35</v>
      </c>
      <c r="C421">
        <v>53.72</v>
      </c>
      <c r="D421">
        <v>6</v>
      </c>
      <c r="E421" s="1">
        <v>38281</v>
      </c>
      <c r="F421" t="s">
        <v>0</v>
      </c>
      <c r="G421">
        <v>4</v>
      </c>
      <c r="H421">
        <v>2004</v>
      </c>
      <c r="I421" t="s">
        <v>49</v>
      </c>
      <c r="J421" t="s">
        <v>67</v>
      </c>
      <c r="K421" t="s">
        <v>225</v>
      </c>
      <c r="L421" t="s">
        <v>226</v>
      </c>
      <c r="M421" t="s">
        <v>227</v>
      </c>
      <c r="N421" t="s">
        <v>161</v>
      </c>
      <c r="O421" t="s">
        <v>177</v>
      </c>
      <c r="P421" t="s">
        <v>5</v>
      </c>
      <c r="Q421" t="s">
        <v>6</v>
      </c>
      <c r="R421" t="s">
        <v>349</v>
      </c>
      <c r="S421" t="s">
        <v>7</v>
      </c>
      <c r="T421" t="s">
        <v>324</v>
      </c>
      <c r="U421">
        <f>Sales_Order[[#This Row],[Quantity ordered]]*Sales_Order[[#This Row],[Price each]]</f>
        <v>1880.2</v>
      </c>
    </row>
    <row r="422" spans="1:21" x14ac:dyDescent="0.3">
      <c r="A422">
        <v>10322</v>
      </c>
      <c r="B422">
        <v>41</v>
      </c>
      <c r="C422">
        <v>29.87</v>
      </c>
      <c r="D422">
        <v>13</v>
      </c>
      <c r="E422" s="1">
        <v>38088</v>
      </c>
      <c r="F422" t="s">
        <v>0</v>
      </c>
      <c r="G422">
        <v>4</v>
      </c>
      <c r="H422">
        <v>2004</v>
      </c>
      <c r="I422" t="s">
        <v>49</v>
      </c>
      <c r="J422" t="s">
        <v>67</v>
      </c>
      <c r="K422" t="s">
        <v>228</v>
      </c>
      <c r="L422" t="s">
        <v>229</v>
      </c>
      <c r="M422" t="s">
        <v>230</v>
      </c>
      <c r="N422" t="s">
        <v>231</v>
      </c>
      <c r="O422" t="s">
        <v>232</v>
      </c>
      <c r="P422" t="s">
        <v>5</v>
      </c>
      <c r="Q422" t="s">
        <v>6</v>
      </c>
      <c r="R422" t="s">
        <v>350</v>
      </c>
      <c r="S422" t="s">
        <v>7</v>
      </c>
      <c r="T422" t="s">
        <v>334</v>
      </c>
      <c r="U422">
        <f>Sales_Order[[#This Row],[Quantity ordered]]*Sales_Order[[#This Row],[Price each]]</f>
        <v>1224.67</v>
      </c>
    </row>
    <row r="423" spans="1:21" x14ac:dyDescent="0.3">
      <c r="A423">
        <v>10347</v>
      </c>
      <c r="B423">
        <v>34</v>
      </c>
      <c r="C423">
        <v>64.959999999999994</v>
      </c>
      <c r="D423">
        <v>10</v>
      </c>
      <c r="E423" s="1">
        <v>38320</v>
      </c>
      <c r="F423" t="s">
        <v>0</v>
      </c>
      <c r="G423">
        <v>4</v>
      </c>
      <c r="H423">
        <v>2004</v>
      </c>
      <c r="I423" t="s">
        <v>49</v>
      </c>
      <c r="J423" t="s">
        <v>67</v>
      </c>
      <c r="K423" t="s">
        <v>9</v>
      </c>
      <c r="L423" t="s">
        <v>10</v>
      </c>
      <c r="M423" t="s">
        <v>11</v>
      </c>
      <c r="N423" t="s">
        <v>12</v>
      </c>
      <c r="O423" t="s">
        <v>134</v>
      </c>
      <c r="P423" t="s">
        <v>13</v>
      </c>
      <c r="Q423" t="s">
        <v>14</v>
      </c>
      <c r="R423" t="s">
        <v>325</v>
      </c>
      <c r="S423" t="s">
        <v>7</v>
      </c>
      <c r="T423" t="s">
        <v>334</v>
      </c>
      <c r="U423">
        <f>Sales_Order[[#This Row],[Quantity ordered]]*Sales_Order[[#This Row],[Price each]]</f>
        <v>2208.64</v>
      </c>
    </row>
    <row r="424" spans="1:21" x14ac:dyDescent="0.3">
      <c r="A424">
        <v>10357</v>
      </c>
      <c r="B424">
        <v>49</v>
      </c>
      <c r="C424">
        <v>70.58</v>
      </c>
      <c r="D424">
        <v>5</v>
      </c>
      <c r="E424" s="1">
        <v>38272</v>
      </c>
      <c r="F424" t="s">
        <v>0</v>
      </c>
      <c r="G424">
        <v>4</v>
      </c>
      <c r="H424">
        <v>2004</v>
      </c>
      <c r="I424" t="s">
        <v>49</v>
      </c>
      <c r="J424" t="s">
        <v>67</v>
      </c>
      <c r="K424" t="s">
        <v>225</v>
      </c>
      <c r="L424" t="s">
        <v>226</v>
      </c>
      <c r="M424" t="s">
        <v>227</v>
      </c>
      <c r="N424" t="s">
        <v>161</v>
      </c>
      <c r="O424" t="s">
        <v>177</v>
      </c>
      <c r="P424" t="s">
        <v>5</v>
      </c>
      <c r="Q424" t="s">
        <v>6</v>
      </c>
      <c r="R424" t="s">
        <v>349</v>
      </c>
      <c r="S424" t="s">
        <v>8</v>
      </c>
      <c r="T424" t="s">
        <v>336</v>
      </c>
      <c r="U424">
        <f>Sales_Order[[#This Row],[Quantity ordered]]*Sales_Order[[#This Row],[Price each]]</f>
        <v>3458.42</v>
      </c>
    </row>
    <row r="425" spans="1:21" x14ac:dyDescent="0.3">
      <c r="A425">
        <v>10369</v>
      </c>
      <c r="B425">
        <v>28</v>
      </c>
      <c r="C425">
        <v>44.21</v>
      </c>
      <c r="D425">
        <v>6</v>
      </c>
      <c r="E425" s="1">
        <v>38372</v>
      </c>
      <c r="F425" t="s">
        <v>0</v>
      </c>
      <c r="G425">
        <v>1</v>
      </c>
      <c r="H425">
        <v>2005</v>
      </c>
      <c r="I425" t="s">
        <v>49</v>
      </c>
      <c r="J425" t="s">
        <v>67</v>
      </c>
      <c r="K425" t="s">
        <v>233</v>
      </c>
      <c r="L425" t="s">
        <v>234</v>
      </c>
      <c r="M425" t="s">
        <v>235</v>
      </c>
      <c r="N425" t="s">
        <v>181</v>
      </c>
      <c r="O425" t="s">
        <v>236</v>
      </c>
      <c r="P425" t="s">
        <v>5</v>
      </c>
      <c r="Q425" t="s">
        <v>6</v>
      </c>
      <c r="R425" t="s">
        <v>351</v>
      </c>
      <c r="S425" t="s">
        <v>7</v>
      </c>
      <c r="T425" t="s">
        <v>345</v>
      </c>
      <c r="U425">
        <f>Sales_Order[[#This Row],[Quantity ordered]]*Sales_Order[[#This Row],[Price each]]</f>
        <v>1237.8800000000001</v>
      </c>
    </row>
    <row r="426" spans="1:21" x14ac:dyDescent="0.3">
      <c r="A426">
        <v>10130</v>
      </c>
      <c r="B426">
        <v>40</v>
      </c>
      <c r="C426">
        <v>96.34</v>
      </c>
      <c r="D426">
        <v>2</v>
      </c>
      <c r="E426" s="1">
        <v>37788</v>
      </c>
      <c r="F426" t="s">
        <v>0</v>
      </c>
      <c r="G426">
        <v>2</v>
      </c>
      <c r="H426">
        <v>2003</v>
      </c>
      <c r="I426" t="s">
        <v>68</v>
      </c>
      <c r="J426" t="s">
        <v>304</v>
      </c>
      <c r="K426" t="s">
        <v>305</v>
      </c>
      <c r="L426" t="s">
        <v>306</v>
      </c>
      <c r="M426" t="s">
        <v>235</v>
      </c>
      <c r="N426" t="s">
        <v>181</v>
      </c>
      <c r="O426" t="s">
        <v>236</v>
      </c>
      <c r="P426" t="s">
        <v>5</v>
      </c>
      <c r="Q426" t="s">
        <v>6</v>
      </c>
      <c r="R426" t="s">
        <v>373</v>
      </c>
      <c r="S426" t="s">
        <v>8</v>
      </c>
      <c r="T426" t="s">
        <v>331</v>
      </c>
      <c r="U426">
        <f>Sales_Order[[#This Row],[Quantity ordered]]*Sales_Order[[#This Row],[Price each]]</f>
        <v>3853.6000000000004</v>
      </c>
    </row>
    <row r="427" spans="1:21" x14ac:dyDescent="0.3">
      <c r="A427">
        <v>10143</v>
      </c>
      <c r="B427">
        <v>46</v>
      </c>
      <c r="C427">
        <v>74.84</v>
      </c>
      <c r="D427">
        <v>13</v>
      </c>
      <c r="E427" s="1">
        <v>37902</v>
      </c>
      <c r="F427" t="s">
        <v>0</v>
      </c>
      <c r="G427">
        <v>3</v>
      </c>
      <c r="H427">
        <v>2003</v>
      </c>
      <c r="I427" t="s">
        <v>68</v>
      </c>
      <c r="J427" t="s">
        <v>304</v>
      </c>
      <c r="K427" t="s">
        <v>252</v>
      </c>
      <c r="L427" t="s">
        <v>253</v>
      </c>
      <c r="M427" t="s">
        <v>191</v>
      </c>
      <c r="N427" t="s">
        <v>181</v>
      </c>
      <c r="O427" t="s">
        <v>192</v>
      </c>
      <c r="P427" t="s">
        <v>5</v>
      </c>
      <c r="Q427" t="s">
        <v>6</v>
      </c>
      <c r="R427" t="s">
        <v>357</v>
      </c>
      <c r="S427" t="s">
        <v>8</v>
      </c>
      <c r="T427" t="s">
        <v>322</v>
      </c>
      <c r="U427">
        <f>Sales_Order[[#This Row],[Quantity ordered]]*Sales_Order[[#This Row],[Price each]]</f>
        <v>3442.6400000000003</v>
      </c>
    </row>
    <row r="428" spans="1:21" x14ac:dyDescent="0.3">
      <c r="A428">
        <v>10222</v>
      </c>
      <c r="B428">
        <v>49</v>
      </c>
      <c r="C428">
        <v>94.62</v>
      </c>
      <c r="D428">
        <v>10</v>
      </c>
      <c r="E428" s="1">
        <v>38036</v>
      </c>
      <c r="F428" t="s">
        <v>0</v>
      </c>
      <c r="G428">
        <v>1</v>
      </c>
      <c r="H428">
        <v>2004</v>
      </c>
      <c r="I428" t="s">
        <v>68</v>
      </c>
      <c r="J428" t="s">
        <v>304</v>
      </c>
      <c r="K428" t="s">
        <v>255</v>
      </c>
      <c r="L428" t="s">
        <v>256</v>
      </c>
      <c r="M428" t="s">
        <v>257</v>
      </c>
      <c r="N428" t="s">
        <v>161</v>
      </c>
      <c r="O428" t="s">
        <v>258</v>
      </c>
      <c r="P428" t="s">
        <v>5</v>
      </c>
      <c r="Q428" t="s">
        <v>6</v>
      </c>
      <c r="R428" t="s">
        <v>358</v>
      </c>
      <c r="S428" t="s">
        <v>8</v>
      </c>
      <c r="T428" t="s">
        <v>320</v>
      </c>
      <c r="U428">
        <f>Sales_Order[[#This Row],[Quantity ordered]]*Sales_Order[[#This Row],[Price each]]</f>
        <v>4636.38</v>
      </c>
    </row>
    <row r="429" spans="1:21" x14ac:dyDescent="0.3">
      <c r="A429">
        <v>10248</v>
      </c>
      <c r="B429">
        <v>21</v>
      </c>
      <c r="C429">
        <v>73.98</v>
      </c>
      <c r="D429">
        <v>1</v>
      </c>
      <c r="E429" s="1">
        <v>38173</v>
      </c>
      <c r="F429" t="s">
        <v>254</v>
      </c>
      <c r="G429">
        <v>2</v>
      </c>
      <c r="H429">
        <v>2004</v>
      </c>
      <c r="I429" t="s">
        <v>68</v>
      </c>
      <c r="J429" t="s">
        <v>304</v>
      </c>
      <c r="K429" t="s">
        <v>155</v>
      </c>
      <c r="L429" t="s">
        <v>156</v>
      </c>
      <c r="M429" t="s">
        <v>3</v>
      </c>
      <c r="N429" t="s">
        <v>4</v>
      </c>
      <c r="O429" t="s">
        <v>135</v>
      </c>
      <c r="P429" t="s">
        <v>5</v>
      </c>
      <c r="Q429" t="s">
        <v>6</v>
      </c>
      <c r="R429" t="s">
        <v>319</v>
      </c>
      <c r="S429" t="s">
        <v>7</v>
      </c>
      <c r="T429" t="s">
        <v>329</v>
      </c>
      <c r="U429">
        <f>Sales_Order[[#This Row],[Quantity ordered]]*Sales_Order[[#This Row],[Price each]]</f>
        <v>1553.5800000000002</v>
      </c>
    </row>
    <row r="430" spans="1:21" x14ac:dyDescent="0.3">
      <c r="A430">
        <v>10283</v>
      </c>
      <c r="B430">
        <v>21</v>
      </c>
      <c r="C430">
        <v>98.06</v>
      </c>
      <c r="D430">
        <v>4</v>
      </c>
      <c r="E430" s="1">
        <v>38219</v>
      </c>
      <c r="F430" t="s">
        <v>0</v>
      </c>
      <c r="G430">
        <v>3</v>
      </c>
      <c r="H430">
        <v>2004</v>
      </c>
      <c r="I430" t="s">
        <v>68</v>
      </c>
      <c r="J430" t="s">
        <v>304</v>
      </c>
      <c r="K430" t="s">
        <v>259</v>
      </c>
      <c r="L430" t="s">
        <v>260</v>
      </c>
      <c r="M430" t="s">
        <v>261</v>
      </c>
      <c r="N430" t="s">
        <v>208</v>
      </c>
      <c r="O430" t="s">
        <v>262</v>
      </c>
      <c r="P430" t="s">
        <v>210</v>
      </c>
      <c r="Q430" t="s">
        <v>6</v>
      </c>
      <c r="R430" t="s">
        <v>359</v>
      </c>
      <c r="S430" t="s">
        <v>7</v>
      </c>
      <c r="T430" t="s">
        <v>322</v>
      </c>
      <c r="U430">
        <f>Sales_Order[[#This Row],[Quantity ordered]]*Sales_Order[[#This Row],[Price each]]</f>
        <v>2059.2600000000002</v>
      </c>
    </row>
    <row r="431" spans="1:21" x14ac:dyDescent="0.3">
      <c r="A431">
        <v>10307</v>
      </c>
      <c r="B431">
        <v>31</v>
      </c>
      <c r="C431">
        <v>83.44</v>
      </c>
      <c r="D431">
        <v>7</v>
      </c>
      <c r="E431" s="1">
        <v>38274</v>
      </c>
      <c r="F431" t="s">
        <v>0</v>
      </c>
      <c r="G431">
        <v>4</v>
      </c>
      <c r="H431">
        <v>2004</v>
      </c>
      <c r="I431" t="s">
        <v>68</v>
      </c>
      <c r="J431" t="s">
        <v>304</v>
      </c>
      <c r="K431" t="s">
        <v>201</v>
      </c>
      <c r="L431" t="s">
        <v>202</v>
      </c>
      <c r="M431" t="s">
        <v>203</v>
      </c>
      <c r="N431" t="s">
        <v>186</v>
      </c>
      <c r="O431" t="s">
        <v>204</v>
      </c>
      <c r="P431" t="s">
        <v>5</v>
      </c>
      <c r="Q431" t="s">
        <v>6</v>
      </c>
      <c r="R431" t="s">
        <v>342</v>
      </c>
      <c r="S431" t="s">
        <v>7</v>
      </c>
      <c r="T431" t="s">
        <v>324</v>
      </c>
      <c r="U431">
        <f>Sales_Order[[#This Row],[Quantity ordered]]*Sales_Order[[#This Row],[Price each]]</f>
        <v>2586.64</v>
      </c>
    </row>
    <row r="432" spans="1:21" x14ac:dyDescent="0.3">
      <c r="A432">
        <v>10316</v>
      </c>
      <c r="B432">
        <v>21</v>
      </c>
      <c r="C432">
        <v>94.62</v>
      </c>
      <c r="D432">
        <v>15</v>
      </c>
      <c r="E432" s="1">
        <v>37997</v>
      </c>
      <c r="F432" t="s">
        <v>0</v>
      </c>
      <c r="G432">
        <v>4</v>
      </c>
      <c r="H432">
        <v>2004</v>
      </c>
      <c r="I432" t="s">
        <v>68</v>
      </c>
      <c r="J432" t="s">
        <v>304</v>
      </c>
      <c r="K432" t="s">
        <v>267</v>
      </c>
      <c r="L432" t="s">
        <v>268</v>
      </c>
      <c r="M432" t="s">
        <v>269</v>
      </c>
      <c r="N432" t="s">
        <v>270</v>
      </c>
      <c r="O432" t="s">
        <v>271</v>
      </c>
      <c r="P432" t="s">
        <v>193</v>
      </c>
      <c r="Q432" t="s">
        <v>157</v>
      </c>
      <c r="R432" t="s">
        <v>362</v>
      </c>
      <c r="S432" t="s">
        <v>7</v>
      </c>
      <c r="T432" t="s">
        <v>334</v>
      </c>
      <c r="U432">
        <f>Sales_Order[[#This Row],[Quantity ordered]]*Sales_Order[[#This Row],[Price each]]</f>
        <v>1987.02</v>
      </c>
    </row>
    <row r="433" spans="1:21" x14ac:dyDescent="0.3">
      <c r="A433">
        <v>10400</v>
      </c>
      <c r="B433">
        <v>30</v>
      </c>
      <c r="C433">
        <v>74.84</v>
      </c>
      <c r="D433">
        <v>7</v>
      </c>
      <c r="E433" s="1">
        <v>38356</v>
      </c>
      <c r="F433" t="s">
        <v>0</v>
      </c>
      <c r="G433">
        <v>2</v>
      </c>
      <c r="H433">
        <v>2005</v>
      </c>
      <c r="I433" t="s">
        <v>68</v>
      </c>
      <c r="J433" t="s">
        <v>304</v>
      </c>
      <c r="K433" t="s">
        <v>272</v>
      </c>
      <c r="L433" t="s">
        <v>273</v>
      </c>
      <c r="M433" t="s">
        <v>274</v>
      </c>
      <c r="N433" t="s">
        <v>161</v>
      </c>
      <c r="O433" t="s">
        <v>166</v>
      </c>
      <c r="P433" t="s">
        <v>5</v>
      </c>
      <c r="Q433" t="s">
        <v>6</v>
      </c>
      <c r="R433" t="s">
        <v>363</v>
      </c>
      <c r="S433" t="s">
        <v>7</v>
      </c>
      <c r="T433" t="s">
        <v>327</v>
      </c>
      <c r="U433">
        <f>Sales_Order[[#This Row],[Quantity ordered]]*Sales_Order[[#This Row],[Price each]]</f>
        <v>2245.2000000000003</v>
      </c>
    </row>
    <row r="434" spans="1:21" x14ac:dyDescent="0.3">
      <c r="A434">
        <v>10414</v>
      </c>
      <c r="B434">
        <v>44</v>
      </c>
      <c r="C434">
        <v>73.98</v>
      </c>
      <c r="D434">
        <v>1</v>
      </c>
      <c r="E434" s="1">
        <v>38508</v>
      </c>
      <c r="F434" t="s">
        <v>275</v>
      </c>
      <c r="G434">
        <v>2</v>
      </c>
      <c r="H434">
        <v>2005</v>
      </c>
      <c r="I434" t="s">
        <v>68</v>
      </c>
      <c r="J434" t="s">
        <v>304</v>
      </c>
      <c r="K434" t="s">
        <v>263</v>
      </c>
      <c r="L434" t="s">
        <v>264</v>
      </c>
      <c r="M434" t="s">
        <v>265</v>
      </c>
      <c r="N434" t="s">
        <v>181</v>
      </c>
      <c r="O434" t="s">
        <v>266</v>
      </c>
      <c r="P434" t="s">
        <v>5</v>
      </c>
      <c r="Q434" t="s">
        <v>6</v>
      </c>
      <c r="R434" t="s">
        <v>360</v>
      </c>
      <c r="S434" t="s">
        <v>8</v>
      </c>
      <c r="T434" t="s">
        <v>329</v>
      </c>
      <c r="U434">
        <f>Sales_Order[[#This Row],[Quantity ordered]]*Sales_Order[[#This Row],[Price each]]</f>
        <v>3255.1200000000003</v>
      </c>
    </row>
    <row r="435" spans="1:21" x14ac:dyDescent="0.3">
      <c r="A435">
        <v>10139</v>
      </c>
      <c r="B435">
        <v>20</v>
      </c>
      <c r="C435">
        <v>90.06</v>
      </c>
      <c r="D435">
        <v>2</v>
      </c>
      <c r="E435" s="1">
        <v>37818</v>
      </c>
      <c r="F435" t="s">
        <v>0</v>
      </c>
      <c r="G435">
        <v>3</v>
      </c>
      <c r="H435">
        <v>2003</v>
      </c>
      <c r="I435" t="s">
        <v>49</v>
      </c>
      <c r="J435" t="s">
        <v>69</v>
      </c>
      <c r="K435" t="s">
        <v>18</v>
      </c>
      <c r="L435" t="s">
        <v>19</v>
      </c>
      <c r="M435" t="s">
        <v>20</v>
      </c>
      <c r="N435" t="s">
        <v>21</v>
      </c>
      <c r="O435" t="s">
        <v>136</v>
      </c>
      <c r="P435" t="s">
        <v>13</v>
      </c>
      <c r="Q435" t="s">
        <v>14</v>
      </c>
      <c r="R435" t="s">
        <v>335</v>
      </c>
      <c r="S435" t="s">
        <v>7</v>
      </c>
      <c r="T435" t="s">
        <v>339</v>
      </c>
      <c r="U435">
        <f>Sales_Order[[#This Row],[Quantity ordered]]*Sales_Order[[#This Row],[Price each]]</f>
        <v>1801.2</v>
      </c>
    </row>
    <row r="436" spans="1:21" x14ac:dyDescent="0.3">
      <c r="A436">
        <v>10163</v>
      </c>
      <c r="B436">
        <v>40</v>
      </c>
      <c r="C436">
        <v>100</v>
      </c>
      <c r="D436">
        <v>3</v>
      </c>
      <c r="E436" s="1">
        <v>37914</v>
      </c>
      <c r="F436" t="s">
        <v>0</v>
      </c>
      <c r="G436">
        <v>4</v>
      </c>
      <c r="H436">
        <v>2003</v>
      </c>
      <c r="I436" t="s">
        <v>49</v>
      </c>
      <c r="J436" t="s">
        <v>69</v>
      </c>
      <c r="K436" t="s">
        <v>24</v>
      </c>
      <c r="L436" t="s">
        <v>25</v>
      </c>
      <c r="M436" t="s">
        <v>3</v>
      </c>
      <c r="N436" t="s">
        <v>4</v>
      </c>
      <c r="O436" t="s">
        <v>135</v>
      </c>
      <c r="P436" t="s">
        <v>5</v>
      </c>
      <c r="Q436" t="s">
        <v>6</v>
      </c>
      <c r="R436" t="s">
        <v>340</v>
      </c>
      <c r="S436" t="s">
        <v>8</v>
      </c>
      <c r="T436" t="s">
        <v>324</v>
      </c>
      <c r="U436">
        <f>Sales_Order[[#This Row],[Quantity ordered]]*Sales_Order[[#This Row],[Price each]]</f>
        <v>4000</v>
      </c>
    </row>
    <row r="437" spans="1:21" x14ac:dyDescent="0.3">
      <c r="A437">
        <v>10183</v>
      </c>
      <c r="B437">
        <v>22</v>
      </c>
      <c r="C437">
        <v>100</v>
      </c>
      <c r="D437">
        <v>10</v>
      </c>
      <c r="E437" s="1">
        <v>37938</v>
      </c>
      <c r="F437" t="s">
        <v>0</v>
      </c>
      <c r="G437">
        <v>4</v>
      </c>
      <c r="H437">
        <v>2003</v>
      </c>
      <c r="I437" t="s">
        <v>49</v>
      </c>
      <c r="J437" t="s">
        <v>69</v>
      </c>
      <c r="K437" t="s">
        <v>201</v>
      </c>
      <c r="L437" t="s">
        <v>202</v>
      </c>
      <c r="M437" t="s">
        <v>203</v>
      </c>
      <c r="N437" t="s">
        <v>186</v>
      </c>
      <c r="O437" t="s">
        <v>204</v>
      </c>
      <c r="P437" t="s">
        <v>5</v>
      </c>
      <c r="Q437" t="s">
        <v>6</v>
      </c>
      <c r="R437" t="s">
        <v>342</v>
      </c>
      <c r="S437" t="s">
        <v>7</v>
      </c>
      <c r="T437" t="s">
        <v>334</v>
      </c>
      <c r="U437">
        <f>Sales_Order[[#This Row],[Quantity ordered]]*Sales_Order[[#This Row],[Price each]]</f>
        <v>2200</v>
      </c>
    </row>
    <row r="438" spans="1:21" x14ac:dyDescent="0.3">
      <c r="A438">
        <v>10193</v>
      </c>
      <c r="B438">
        <v>23</v>
      </c>
      <c r="C438">
        <v>100</v>
      </c>
      <c r="D438">
        <v>2</v>
      </c>
      <c r="E438" s="1">
        <v>37946</v>
      </c>
      <c r="F438" t="s">
        <v>0</v>
      </c>
      <c r="G438">
        <v>4</v>
      </c>
      <c r="H438">
        <v>2003</v>
      </c>
      <c r="I438" t="s">
        <v>49</v>
      </c>
      <c r="J438" t="s">
        <v>69</v>
      </c>
      <c r="K438" t="s">
        <v>296</v>
      </c>
      <c r="L438" t="s">
        <v>297</v>
      </c>
      <c r="M438" t="s">
        <v>298</v>
      </c>
      <c r="N438" t="s">
        <v>12</v>
      </c>
      <c r="O438" t="s">
        <v>299</v>
      </c>
      <c r="P438" t="s">
        <v>13</v>
      </c>
      <c r="Q438" t="s">
        <v>14</v>
      </c>
      <c r="R438" t="s">
        <v>371</v>
      </c>
      <c r="S438" t="s">
        <v>7</v>
      </c>
      <c r="T438" t="s">
        <v>334</v>
      </c>
      <c r="U438">
        <f>Sales_Order[[#This Row],[Quantity ordered]]*Sales_Order[[#This Row],[Price each]]</f>
        <v>2300</v>
      </c>
    </row>
    <row r="439" spans="1:21" x14ac:dyDescent="0.3">
      <c r="A439">
        <v>10206</v>
      </c>
      <c r="B439">
        <v>30</v>
      </c>
      <c r="C439">
        <v>100</v>
      </c>
      <c r="D439">
        <v>8</v>
      </c>
      <c r="E439" s="1">
        <v>37753</v>
      </c>
      <c r="F439" t="s">
        <v>0</v>
      </c>
      <c r="G439">
        <v>4</v>
      </c>
      <c r="H439">
        <v>2003</v>
      </c>
      <c r="I439" t="s">
        <v>49</v>
      </c>
      <c r="J439" t="s">
        <v>69</v>
      </c>
      <c r="K439" t="s">
        <v>205</v>
      </c>
      <c r="L439" t="s">
        <v>206</v>
      </c>
      <c r="M439" t="s">
        <v>207</v>
      </c>
      <c r="N439" t="s">
        <v>208</v>
      </c>
      <c r="O439" t="s">
        <v>209</v>
      </c>
      <c r="P439" t="s">
        <v>210</v>
      </c>
      <c r="Q439" t="s">
        <v>6</v>
      </c>
      <c r="R439" t="s">
        <v>343</v>
      </c>
      <c r="S439" t="s">
        <v>8</v>
      </c>
      <c r="T439" t="s">
        <v>336</v>
      </c>
      <c r="U439">
        <f>Sales_Order[[#This Row],[Quantity ordered]]*Sales_Order[[#This Row],[Price each]]</f>
        <v>3000</v>
      </c>
    </row>
    <row r="440" spans="1:21" x14ac:dyDescent="0.3">
      <c r="A440">
        <v>10215</v>
      </c>
      <c r="B440">
        <v>49</v>
      </c>
      <c r="C440">
        <v>100</v>
      </c>
      <c r="D440">
        <v>5</v>
      </c>
      <c r="E440" s="1">
        <v>38015</v>
      </c>
      <c r="F440" t="s">
        <v>0</v>
      </c>
      <c r="G440">
        <v>1</v>
      </c>
      <c r="H440">
        <v>2004</v>
      </c>
      <c r="I440" t="s">
        <v>49</v>
      </c>
      <c r="J440" t="s">
        <v>69</v>
      </c>
      <c r="K440" t="s">
        <v>211</v>
      </c>
      <c r="L440" t="s">
        <v>212</v>
      </c>
      <c r="M440" t="s">
        <v>213</v>
      </c>
      <c r="N440" t="s">
        <v>161</v>
      </c>
      <c r="O440" t="s">
        <v>172</v>
      </c>
      <c r="P440" t="s">
        <v>5</v>
      </c>
      <c r="Q440" t="s">
        <v>6</v>
      </c>
      <c r="R440" t="s">
        <v>344</v>
      </c>
      <c r="S440" t="s">
        <v>8</v>
      </c>
      <c r="T440" t="s">
        <v>345</v>
      </c>
      <c r="U440">
        <f>Sales_Order[[#This Row],[Quantity ordered]]*Sales_Order[[#This Row],[Price each]]</f>
        <v>4900</v>
      </c>
    </row>
    <row r="441" spans="1:21" x14ac:dyDescent="0.3">
      <c r="A441">
        <v>10228</v>
      </c>
      <c r="B441">
        <v>31</v>
      </c>
      <c r="C441">
        <v>100</v>
      </c>
      <c r="D441">
        <v>4</v>
      </c>
      <c r="E441" s="1">
        <v>38263</v>
      </c>
      <c r="F441" t="s">
        <v>0</v>
      </c>
      <c r="G441">
        <v>1</v>
      </c>
      <c r="H441">
        <v>2004</v>
      </c>
      <c r="I441" t="s">
        <v>49</v>
      </c>
      <c r="J441" t="s">
        <v>69</v>
      </c>
      <c r="K441" t="s">
        <v>214</v>
      </c>
      <c r="L441" t="s">
        <v>215</v>
      </c>
      <c r="M441" t="s">
        <v>180</v>
      </c>
      <c r="N441" t="s">
        <v>181</v>
      </c>
      <c r="O441" t="s">
        <v>182</v>
      </c>
      <c r="P441" t="s">
        <v>5</v>
      </c>
      <c r="Q441" t="s">
        <v>6</v>
      </c>
      <c r="R441" t="s">
        <v>346</v>
      </c>
      <c r="S441" t="s">
        <v>8</v>
      </c>
      <c r="T441" t="s">
        <v>338</v>
      </c>
      <c r="U441">
        <f>Sales_Order[[#This Row],[Quantity ordered]]*Sales_Order[[#This Row],[Price each]]</f>
        <v>3100</v>
      </c>
    </row>
    <row r="442" spans="1:21" x14ac:dyDescent="0.3">
      <c r="A442">
        <v>10257</v>
      </c>
      <c r="B442">
        <v>37</v>
      </c>
      <c r="C442">
        <v>84.82</v>
      </c>
      <c r="D442">
        <v>2</v>
      </c>
      <c r="E442" s="1">
        <v>38152</v>
      </c>
      <c r="F442" t="s">
        <v>0</v>
      </c>
      <c r="G442">
        <v>2</v>
      </c>
      <c r="H442">
        <v>2004</v>
      </c>
      <c r="I442" t="s">
        <v>49</v>
      </c>
      <c r="J442" t="s">
        <v>69</v>
      </c>
      <c r="K442" t="s">
        <v>272</v>
      </c>
      <c r="L442" t="s">
        <v>273</v>
      </c>
      <c r="M442" t="s">
        <v>274</v>
      </c>
      <c r="N442" t="s">
        <v>161</v>
      </c>
      <c r="O442" t="s">
        <v>166</v>
      </c>
      <c r="P442" t="s">
        <v>5</v>
      </c>
      <c r="Q442" t="s">
        <v>6</v>
      </c>
      <c r="R442" t="s">
        <v>363</v>
      </c>
      <c r="S442" t="s">
        <v>8</v>
      </c>
      <c r="T442" t="s">
        <v>331</v>
      </c>
      <c r="U442">
        <f>Sales_Order[[#This Row],[Quantity ordered]]*Sales_Order[[#This Row],[Price each]]</f>
        <v>3138.3399999999997</v>
      </c>
    </row>
    <row r="443" spans="1:21" x14ac:dyDescent="0.3">
      <c r="A443">
        <v>10270</v>
      </c>
      <c r="B443">
        <v>38</v>
      </c>
      <c r="C443">
        <v>100</v>
      </c>
      <c r="D443">
        <v>11</v>
      </c>
      <c r="E443" s="1">
        <v>38187</v>
      </c>
      <c r="F443" t="s">
        <v>0</v>
      </c>
      <c r="G443">
        <v>3</v>
      </c>
      <c r="H443">
        <v>2004</v>
      </c>
      <c r="I443" t="s">
        <v>49</v>
      </c>
      <c r="J443" t="s">
        <v>69</v>
      </c>
      <c r="K443" t="s">
        <v>18</v>
      </c>
      <c r="L443" t="s">
        <v>19</v>
      </c>
      <c r="M443" t="s">
        <v>20</v>
      </c>
      <c r="N443" t="s">
        <v>21</v>
      </c>
      <c r="O443" t="s">
        <v>136</v>
      </c>
      <c r="P443" t="s">
        <v>13</v>
      </c>
      <c r="Q443" t="s">
        <v>14</v>
      </c>
      <c r="R443" t="s">
        <v>335</v>
      </c>
      <c r="S443" t="s">
        <v>8</v>
      </c>
      <c r="T443" t="s">
        <v>339</v>
      </c>
      <c r="U443">
        <f>Sales_Order[[#This Row],[Quantity ordered]]*Sales_Order[[#This Row],[Price each]]</f>
        <v>3800</v>
      </c>
    </row>
    <row r="444" spans="1:21" x14ac:dyDescent="0.3">
      <c r="A444">
        <v>10312</v>
      </c>
      <c r="B444">
        <v>38</v>
      </c>
      <c r="C444">
        <v>100</v>
      </c>
      <c r="D444">
        <v>5</v>
      </c>
      <c r="E444" s="1">
        <v>38281</v>
      </c>
      <c r="F444" t="s">
        <v>0</v>
      </c>
      <c r="G444">
        <v>4</v>
      </c>
      <c r="H444">
        <v>2004</v>
      </c>
      <c r="I444" t="s">
        <v>49</v>
      </c>
      <c r="J444" t="s">
        <v>69</v>
      </c>
      <c r="K444" t="s">
        <v>225</v>
      </c>
      <c r="L444" t="s">
        <v>226</v>
      </c>
      <c r="M444" t="s">
        <v>227</v>
      </c>
      <c r="N444" t="s">
        <v>161</v>
      </c>
      <c r="O444" t="s">
        <v>177</v>
      </c>
      <c r="P444" t="s">
        <v>5</v>
      </c>
      <c r="Q444" t="s">
        <v>6</v>
      </c>
      <c r="R444" t="s">
        <v>349</v>
      </c>
      <c r="S444" t="s">
        <v>8</v>
      </c>
      <c r="T444" t="s">
        <v>324</v>
      </c>
      <c r="U444">
        <f>Sales_Order[[#This Row],[Quantity ordered]]*Sales_Order[[#This Row],[Price each]]</f>
        <v>3800</v>
      </c>
    </row>
    <row r="445" spans="1:21" x14ac:dyDescent="0.3">
      <c r="A445">
        <v>10322</v>
      </c>
      <c r="B445">
        <v>48</v>
      </c>
      <c r="C445">
        <v>47.04</v>
      </c>
      <c r="D445">
        <v>7</v>
      </c>
      <c r="E445" s="1">
        <v>38088</v>
      </c>
      <c r="F445" t="s">
        <v>0</v>
      </c>
      <c r="G445">
        <v>4</v>
      </c>
      <c r="H445">
        <v>2004</v>
      </c>
      <c r="I445" t="s">
        <v>49</v>
      </c>
      <c r="J445" t="s">
        <v>69</v>
      </c>
      <c r="K445" t="s">
        <v>228</v>
      </c>
      <c r="L445" t="s">
        <v>229</v>
      </c>
      <c r="M445" t="s">
        <v>230</v>
      </c>
      <c r="N445" t="s">
        <v>231</v>
      </c>
      <c r="O445" t="s">
        <v>232</v>
      </c>
      <c r="P445" t="s">
        <v>5</v>
      </c>
      <c r="Q445" t="s">
        <v>6</v>
      </c>
      <c r="R445" t="s">
        <v>350</v>
      </c>
      <c r="S445" t="s">
        <v>7</v>
      </c>
      <c r="T445" t="s">
        <v>334</v>
      </c>
      <c r="U445">
        <f>Sales_Order[[#This Row],[Quantity ordered]]*Sales_Order[[#This Row],[Price each]]</f>
        <v>2257.92</v>
      </c>
    </row>
    <row r="446" spans="1:21" x14ac:dyDescent="0.3">
      <c r="A446">
        <v>10347</v>
      </c>
      <c r="B446">
        <v>45</v>
      </c>
      <c r="C446">
        <v>100</v>
      </c>
      <c r="D446">
        <v>11</v>
      </c>
      <c r="E446" s="1">
        <v>38320</v>
      </c>
      <c r="F446" t="s">
        <v>0</v>
      </c>
      <c r="G446">
        <v>4</v>
      </c>
      <c r="H446">
        <v>2004</v>
      </c>
      <c r="I446" t="s">
        <v>49</v>
      </c>
      <c r="J446" t="s">
        <v>69</v>
      </c>
      <c r="K446" t="s">
        <v>9</v>
      </c>
      <c r="L446" t="s">
        <v>10</v>
      </c>
      <c r="M446" t="s">
        <v>11</v>
      </c>
      <c r="N446" t="s">
        <v>12</v>
      </c>
      <c r="O446" t="s">
        <v>134</v>
      </c>
      <c r="P446" t="s">
        <v>13</v>
      </c>
      <c r="Q446" t="s">
        <v>14</v>
      </c>
      <c r="R446" t="s">
        <v>325</v>
      </c>
      <c r="S446" t="s">
        <v>8</v>
      </c>
      <c r="T446" t="s">
        <v>334</v>
      </c>
      <c r="U446">
        <f>Sales_Order[[#This Row],[Quantity ordered]]*Sales_Order[[#This Row],[Price each]]</f>
        <v>4500</v>
      </c>
    </row>
    <row r="447" spans="1:21" x14ac:dyDescent="0.3">
      <c r="A447">
        <v>10357</v>
      </c>
      <c r="B447">
        <v>44</v>
      </c>
      <c r="C447">
        <v>100</v>
      </c>
      <c r="D447">
        <v>4</v>
      </c>
      <c r="E447" s="1">
        <v>38272</v>
      </c>
      <c r="F447" t="s">
        <v>0</v>
      </c>
      <c r="G447">
        <v>4</v>
      </c>
      <c r="H447">
        <v>2004</v>
      </c>
      <c r="I447" t="s">
        <v>49</v>
      </c>
      <c r="J447" t="s">
        <v>69</v>
      </c>
      <c r="K447" t="s">
        <v>225</v>
      </c>
      <c r="L447" t="s">
        <v>226</v>
      </c>
      <c r="M447" t="s">
        <v>227</v>
      </c>
      <c r="N447" t="s">
        <v>161</v>
      </c>
      <c r="O447" t="s">
        <v>177</v>
      </c>
      <c r="P447" t="s">
        <v>5</v>
      </c>
      <c r="Q447" t="s">
        <v>6</v>
      </c>
      <c r="R447" t="s">
        <v>349</v>
      </c>
      <c r="S447" t="s">
        <v>8</v>
      </c>
      <c r="T447" t="s">
        <v>336</v>
      </c>
      <c r="U447">
        <f>Sales_Order[[#This Row],[Quantity ordered]]*Sales_Order[[#This Row],[Price each]]</f>
        <v>4400</v>
      </c>
    </row>
    <row r="448" spans="1:21" x14ac:dyDescent="0.3">
      <c r="A448">
        <v>10369</v>
      </c>
      <c r="B448">
        <v>21</v>
      </c>
      <c r="C448">
        <v>94.22</v>
      </c>
      <c r="D448">
        <v>5</v>
      </c>
      <c r="E448" s="1">
        <v>38372</v>
      </c>
      <c r="F448" t="s">
        <v>0</v>
      </c>
      <c r="G448">
        <v>1</v>
      </c>
      <c r="H448">
        <v>2005</v>
      </c>
      <c r="I448" t="s">
        <v>49</v>
      </c>
      <c r="J448" t="s">
        <v>69</v>
      </c>
      <c r="K448" t="s">
        <v>233</v>
      </c>
      <c r="L448" t="s">
        <v>234</v>
      </c>
      <c r="M448" t="s">
        <v>235</v>
      </c>
      <c r="N448" t="s">
        <v>181</v>
      </c>
      <c r="O448" t="s">
        <v>236</v>
      </c>
      <c r="P448" t="s">
        <v>5</v>
      </c>
      <c r="Q448" t="s">
        <v>6</v>
      </c>
      <c r="R448" t="s">
        <v>351</v>
      </c>
      <c r="S448" t="s">
        <v>7</v>
      </c>
      <c r="T448" t="s">
        <v>345</v>
      </c>
      <c r="U448">
        <f>Sales_Order[[#This Row],[Quantity ordered]]*Sales_Order[[#This Row],[Price each]]</f>
        <v>1978.62</v>
      </c>
    </row>
    <row r="449" spans="1:21" x14ac:dyDescent="0.3">
      <c r="A449">
        <v>10142</v>
      </c>
      <c r="B449">
        <v>47</v>
      </c>
      <c r="C449">
        <v>100</v>
      </c>
      <c r="D449">
        <v>8</v>
      </c>
      <c r="E449" s="1">
        <v>37841</v>
      </c>
      <c r="F449" t="s">
        <v>0</v>
      </c>
      <c r="G449">
        <v>3</v>
      </c>
      <c r="H449">
        <v>2003</v>
      </c>
      <c r="I449" t="s">
        <v>49</v>
      </c>
      <c r="J449" t="s">
        <v>307</v>
      </c>
      <c r="K449" t="s">
        <v>225</v>
      </c>
      <c r="L449" t="s">
        <v>226</v>
      </c>
      <c r="M449" t="s">
        <v>227</v>
      </c>
      <c r="N449" t="s">
        <v>161</v>
      </c>
      <c r="O449" t="s">
        <v>177</v>
      </c>
      <c r="P449" t="s">
        <v>5</v>
      </c>
      <c r="Q449" t="s">
        <v>6</v>
      </c>
      <c r="R449" t="s">
        <v>349</v>
      </c>
      <c r="S449" t="s">
        <v>8</v>
      </c>
      <c r="T449" t="s">
        <v>322</v>
      </c>
      <c r="U449">
        <f>Sales_Order[[#This Row],[Quantity ordered]]*Sales_Order[[#This Row],[Price each]]</f>
        <v>4700</v>
      </c>
    </row>
    <row r="450" spans="1:21" x14ac:dyDescent="0.3">
      <c r="A450">
        <v>10166</v>
      </c>
      <c r="B450">
        <v>43</v>
      </c>
      <c r="C450">
        <v>100</v>
      </c>
      <c r="D450">
        <v>2</v>
      </c>
      <c r="E450" s="1">
        <v>37915</v>
      </c>
      <c r="F450" t="s">
        <v>0</v>
      </c>
      <c r="G450">
        <v>4</v>
      </c>
      <c r="H450">
        <v>2003</v>
      </c>
      <c r="I450" t="s">
        <v>49</v>
      </c>
      <c r="J450" t="s">
        <v>307</v>
      </c>
      <c r="K450" t="s">
        <v>189</v>
      </c>
      <c r="L450" t="s">
        <v>190</v>
      </c>
      <c r="M450" t="s">
        <v>191</v>
      </c>
      <c r="N450" t="s">
        <v>181</v>
      </c>
      <c r="O450" t="s">
        <v>192</v>
      </c>
      <c r="P450" t="s">
        <v>5</v>
      </c>
      <c r="Q450" t="s">
        <v>6</v>
      </c>
      <c r="R450" t="s">
        <v>337</v>
      </c>
      <c r="S450" t="s">
        <v>8</v>
      </c>
      <c r="T450" t="s">
        <v>324</v>
      </c>
      <c r="U450">
        <f>Sales_Order[[#This Row],[Quantity ordered]]*Sales_Order[[#This Row],[Price each]]</f>
        <v>4300</v>
      </c>
    </row>
    <row r="451" spans="1:21" x14ac:dyDescent="0.3">
      <c r="A451">
        <v>10185</v>
      </c>
      <c r="B451">
        <v>28</v>
      </c>
      <c r="C451">
        <v>100</v>
      </c>
      <c r="D451">
        <v>9</v>
      </c>
      <c r="E451" s="1">
        <v>37939</v>
      </c>
      <c r="F451" t="s">
        <v>0</v>
      </c>
      <c r="G451">
        <v>4</v>
      </c>
      <c r="H451">
        <v>2003</v>
      </c>
      <c r="I451" t="s">
        <v>49</v>
      </c>
      <c r="J451" t="s">
        <v>307</v>
      </c>
      <c r="K451" t="s">
        <v>252</v>
      </c>
      <c r="L451" t="s">
        <v>253</v>
      </c>
      <c r="M451" t="s">
        <v>191</v>
      </c>
      <c r="N451" t="s">
        <v>181</v>
      </c>
      <c r="O451" t="s">
        <v>192</v>
      </c>
      <c r="P451" t="s">
        <v>5</v>
      </c>
      <c r="Q451" t="s">
        <v>6</v>
      </c>
      <c r="R451" t="s">
        <v>357</v>
      </c>
      <c r="S451" t="s">
        <v>8</v>
      </c>
      <c r="T451" t="s">
        <v>334</v>
      </c>
      <c r="U451">
        <f>Sales_Order[[#This Row],[Quantity ordered]]*Sales_Order[[#This Row],[Price each]]</f>
        <v>2800</v>
      </c>
    </row>
    <row r="452" spans="1:21" x14ac:dyDescent="0.3">
      <c r="A452">
        <v>10196</v>
      </c>
      <c r="B452">
        <v>49</v>
      </c>
      <c r="C452">
        <v>100</v>
      </c>
      <c r="D452">
        <v>1</v>
      </c>
      <c r="E452" s="1">
        <v>37951</v>
      </c>
      <c r="F452" t="s">
        <v>0</v>
      </c>
      <c r="G452">
        <v>4</v>
      </c>
      <c r="H452">
        <v>2003</v>
      </c>
      <c r="I452" t="s">
        <v>49</v>
      </c>
      <c r="J452" t="s">
        <v>307</v>
      </c>
      <c r="K452" t="s">
        <v>216</v>
      </c>
      <c r="L452" t="s">
        <v>217</v>
      </c>
      <c r="M452" t="s">
        <v>218</v>
      </c>
      <c r="N452" t="s">
        <v>176</v>
      </c>
      <c r="O452" t="s">
        <v>219</v>
      </c>
      <c r="P452" t="s">
        <v>5</v>
      </c>
      <c r="Q452" t="s">
        <v>6</v>
      </c>
      <c r="R452" t="s">
        <v>347</v>
      </c>
      <c r="S452" t="s">
        <v>8</v>
      </c>
      <c r="T452" t="s">
        <v>334</v>
      </c>
      <c r="U452">
        <f>Sales_Order[[#This Row],[Quantity ordered]]*Sales_Order[[#This Row],[Price each]]</f>
        <v>4900</v>
      </c>
    </row>
    <row r="453" spans="1:21" x14ac:dyDescent="0.3">
      <c r="A453">
        <v>10232</v>
      </c>
      <c r="B453">
        <v>22</v>
      </c>
      <c r="C453">
        <v>100</v>
      </c>
      <c r="D453">
        <v>6</v>
      </c>
      <c r="E453" s="1">
        <v>38066</v>
      </c>
      <c r="F453" t="s">
        <v>0</v>
      </c>
      <c r="G453">
        <v>1</v>
      </c>
      <c r="H453">
        <v>2004</v>
      </c>
      <c r="I453" t="s">
        <v>49</v>
      </c>
      <c r="J453" t="s">
        <v>307</v>
      </c>
      <c r="K453" t="s">
        <v>267</v>
      </c>
      <c r="L453" t="s">
        <v>268</v>
      </c>
      <c r="M453" t="s">
        <v>269</v>
      </c>
      <c r="N453" t="s">
        <v>270</v>
      </c>
      <c r="O453" t="s">
        <v>271</v>
      </c>
      <c r="P453" t="s">
        <v>193</v>
      </c>
      <c r="Q453" t="s">
        <v>157</v>
      </c>
      <c r="R453" t="s">
        <v>362</v>
      </c>
      <c r="S453" t="s">
        <v>8</v>
      </c>
      <c r="T453" t="s">
        <v>338</v>
      </c>
      <c r="U453">
        <f>Sales_Order[[#This Row],[Quantity ordered]]*Sales_Order[[#This Row],[Price each]]</f>
        <v>2200</v>
      </c>
    </row>
    <row r="454" spans="1:21" x14ac:dyDescent="0.3">
      <c r="A454">
        <v>10248</v>
      </c>
      <c r="B454">
        <v>32</v>
      </c>
      <c r="C454">
        <v>100</v>
      </c>
      <c r="D454">
        <v>12</v>
      </c>
      <c r="E454" s="1">
        <v>38173</v>
      </c>
      <c r="F454" t="s">
        <v>254</v>
      </c>
      <c r="G454">
        <v>2</v>
      </c>
      <c r="H454">
        <v>2004</v>
      </c>
      <c r="I454" t="s">
        <v>49</v>
      </c>
      <c r="J454" t="s">
        <v>307</v>
      </c>
      <c r="K454" t="s">
        <v>155</v>
      </c>
      <c r="L454" t="s">
        <v>156</v>
      </c>
      <c r="M454" t="s">
        <v>3</v>
      </c>
      <c r="N454" t="s">
        <v>4</v>
      </c>
      <c r="O454" t="s">
        <v>135</v>
      </c>
      <c r="P454" t="s">
        <v>5</v>
      </c>
      <c r="Q454" t="s">
        <v>6</v>
      </c>
      <c r="R454" t="s">
        <v>319</v>
      </c>
      <c r="S454" t="s">
        <v>8</v>
      </c>
      <c r="T454" t="s">
        <v>329</v>
      </c>
      <c r="U454">
        <f>Sales_Order[[#This Row],[Quantity ordered]]*Sales_Order[[#This Row],[Price each]]</f>
        <v>3200</v>
      </c>
    </row>
    <row r="455" spans="1:21" x14ac:dyDescent="0.3">
      <c r="A455">
        <v>10282</v>
      </c>
      <c r="B455">
        <v>43</v>
      </c>
      <c r="C455">
        <v>100</v>
      </c>
      <c r="D455">
        <v>1</v>
      </c>
      <c r="E455" s="1">
        <v>38219</v>
      </c>
      <c r="F455" t="s">
        <v>0</v>
      </c>
      <c r="G455">
        <v>3</v>
      </c>
      <c r="H455">
        <v>2004</v>
      </c>
      <c r="I455" t="s">
        <v>49</v>
      </c>
      <c r="J455" t="s">
        <v>307</v>
      </c>
      <c r="K455" t="s">
        <v>225</v>
      </c>
      <c r="L455" t="s">
        <v>226</v>
      </c>
      <c r="M455" t="s">
        <v>227</v>
      </c>
      <c r="N455" t="s">
        <v>161</v>
      </c>
      <c r="O455" t="s">
        <v>177</v>
      </c>
      <c r="P455" t="s">
        <v>5</v>
      </c>
      <c r="Q455" t="s">
        <v>6</v>
      </c>
      <c r="R455" t="s">
        <v>349</v>
      </c>
      <c r="S455" t="s">
        <v>8</v>
      </c>
      <c r="T455" t="s">
        <v>322</v>
      </c>
      <c r="U455">
        <f>Sales_Order[[#This Row],[Quantity ordered]]*Sales_Order[[#This Row],[Price each]]</f>
        <v>4300</v>
      </c>
    </row>
    <row r="456" spans="1:21" x14ac:dyDescent="0.3">
      <c r="A456">
        <v>10372</v>
      </c>
      <c r="B456">
        <v>28</v>
      </c>
      <c r="C456">
        <v>100</v>
      </c>
      <c r="D456">
        <v>3</v>
      </c>
      <c r="E456" s="1">
        <v>38378</v>
      </c>
      <c r="F456" t="s">
        <v>0</v>
      </c>
      <c r="G456">
        <v>1</v>
      </c>
      <c r="H456">
        <v>2005</v>
      </c>
      <c r="I456" t="s">
        <v>49</v>
      </c>
      <c r="J456" t="s">
        <v>307</v>
      </c>
      <c r="K456" t="s">
        <v>220</v>
      </c>
      <c r="L456" t="s">
        <v>221</v>
      </c>
      <c r="M456" t="s">
        <v>222</v>
      </c>
      <c r="N456" t="s">
        <v>223</v>
      </c>
      <c r="O456" t="s">
        <v>224</v>
      </c>
      <c r="P456" t="s">
        <v>195</v>
      </c>
      <c r="Q456" t="s">
        <v>195</v>
      </c>
      <c r="R456" t="s">
        <v>348</v>
      </c>
      <c r="S456" t="s">
        <v>8</v>
      </c>
      <c r="T456" t="s">
        <v>345</v>
      </c>
      <c r="U456">
        <f>Sales_Order[[#This Row],[Quantity ordered]]*Sales_Order[[#This Row],[Price each]]</f>
        <v>2800</v>
      </c>
    </row>
    <row r="457" spans="1:21" x14ac:dyDescent="0.3">
      <c r="A457">
        <v>10396</v>
      </c>
      <c r="B457">
        <v>33</v>
      </c>
      <c r="C457">
        <v>100</v>
      </c>
      <c r="D457">
        <v>2</v>
      </c>
      <c r="E457" s="1">
        <v>38434</v>
      </c>
      <c r="F457" t="s">
        <v>0</v>
      </c>
      <c r="G457">
        <v>1</v>
      </c>
      <c r="H457">
        <v>2005</v>
      </c>
      <c r="I457" t="s">
        <v>49</v>
      </c>
      <c r="J457" t="s">
        <v>307</v>
      </c>
      <c r="K457" t="s">
        <v>225</v>
      </c>
      <c r="L457" t="s">
        <v>226</v>
      </c>
      <c r="M457" t="s">
        <v>227</v>
      </c>
      <c r="N457" t="s">
        <v>161</v>
      </c>
      <c r="O457" t="s">
        <v>177</v>
      </c>
      <c r="P457" t="s">
        <v>5</v>
      </c>
      <c r="Q457" t="s">
        <v>6</v>
      </c>
      <c r="R457" t="s">
        <v>349</v>
      </c>
      <c r="S457" t="s">
        <v>8</v>
      </c>
      <c r="T457" t="s">
        <v>338</v>
      </c>
      <c r="U457">
        <f>Sales_Order[[#This Row],[Quantity ordered]]*Sales_Order[[#This Row],[Price each]]</f>
        <v>3300</v>
      </c>
    </row>
    <row r="458" spans="1:21" x14ac:dyDescent="0.3">
      <c r="A458">
        <v>10414</v>
      </c>
      <c r="B458">
        <v>41</v>
      </c>
      <c r="C458">
        <v>100</v>
      </c>
      <c r="D458">
        <v>12</v>
      </c>
      <c r="E458" s="1">
        <v>38508</v>
      </c>
      <c r="F458" t="s">
        <v>275</v>
      </c>
      <c r="G458">
        <v>2</v>
      </c>
      <c r="H458">
        <v>2005</v>
      </c>
      <c r="I458" t="s">
        <v>49</v>
      </c>
      <c r="J458" t="s">
        <v>307</v>
      </c>
      <c r="K458" t="s">
        <v>263</v>
      </c>
      <c r="L458" t="s">
        <v>264</v>
      </c>
      <c r="M458" t="s">
        <v>265</v>
      </c>
      <c r="N458" t="s">
        <v>181</v>
      </c>
      <c r="O458" t="s">
        <v>266</v>
      </c>
      <c r="P458" t="s">
        <v>5</v>
      </c>
      <c r="Q458" t="s">
        <v>6</v>
      </c>
      <c r="R458" t="s">
        <v>360</v>
      </c>
      <c r="S458" t="s">
        <v>8</v>
      </c>
      <c r="T458" t="s">
        <v>329</v>
      </c>
      <c r="U458">
        <f>Sales_Order[[#This Row],[Quantity ordered]]*Sales_Order[[#This Row],[Price each]]</f>
        <v>4100</v>
      </c>
    </row>
    <row r="459" spans="1:21" x14ac:dyDescent="0.3">
      <c r="A459">
        <v>10109</v>
      </c>
      <c r="B459">
        <v>46</v>
      </c>
      <c r="C459">
        <v>100</v>
      </c>
      <c r="D459">
        <v>5</v>
      </c>
      <c r="E459" s="1">
        <v>37897</v>
      </c>
      <c r="F459" t="s">
        <v>0</v>
      </c>
      <c r="G459">
        <v>1</v>
      </c>
      <c r="H459">
        <v>2003</v>
      </c>
      <c r="I459" t="s">
        <v>22</v>
      </c>
      <c r="J459" t="s">
        <v>70</v>
      </c>
      <c r="K459" t="s">
        <v>246</v>
      </c>
      <c r="L459" t="s">
        <v>247</v>
      </c>
      <c r="M459" t="s">
        <v>203</v>
      </c>
      <c r="N459" t="s">
        <v>186</v>
      </c>
      <c r="O459" t="s">
        <v>204</v>
      </c>
      <c r="P459" t="s">
        <v>5</v>
      </c>
      <c r="Q459" t="s">
        <v>6</v>
      </c>
      <c r="R459" t="s">
        <v>355</v>
      </c>
      <c r="S459" t="s">
        <v>17</v>
      </c>
      <c r="T459" t="s">
        <v>338</v>
      </c>
      <c r="U459">
        <f>Sales_Order[[#This Row],[Quantity ordered]]*Sales_Order[[#This Row],[Price each]]</f>
        <v>4600</v>
      </c>
    </row>
    <row r="460" spans="1:21" x14ac:dyDescent="0.3">
      <c r="A460">
        <v>10127</v>
      </c>
      <c r="B460">
        <v>22</v>
      </c>
      <c r="C460">
        <v>100</v>
      </c>
      <c r="D460">
        <v>15</v>
      </c>
      <c r="E460" s="1">
        <v>37686</v>
      </c>
      <c r="F460" t="s">
        <v>0</v>
      </c>
      <c r="G460">
        <v>2</v>
      </c>
      <c r="H460">
        <v>2003</v>
      </c>
      <c r="I460" t="s">
        <v>22</v>
      </c>
      <c r="J460" t="s">
        <v>70</v>
      </c>
      <c r="K460" t="s">
        <v>36</v>
      </c>
      <c r="L460" t="s">
        <v>37</v>
      </c>
      <c r="M460" t="s">
        <v>3</v>
      </c>
      <c r="N460" t="s">
        <v>4</v>
      </c>
      <c r="O460" t="s">
        <v>135</v>
      </c>
      <c r="P460" t="s">
        <v>5</v>
      </c>
      <c r="Q460" t="s">
        <v>6</v>
      </c>
      <c r="R460" t="s">
        <v>366</v>
      </c>
      <c r="S460" t="s">
        <v>8</v>
      </c>
      <c r="T460" t="s">
        <v>331</v>
      </c>
      <c r="U460">
        <f>Sales_Order[[#This Row],[Quantity ordered]]*Sales_Order[[#This Row],[Price each]]</f>
        <v>2200</v>
      </c>
    </row>
    <row r="461" spans="1:21" x14ac:dyDescent="0.3">
      <c r="A461">
        <v>10148</v>
      </c>
      <c r="B461">
        <v>32</v>
      </c>
      <c r="C461">
        <v>100</v>
      </c>
      <c r="D461">
        <v>14</v>
      </c>
      <c r="E461" s="1">
        <v>37934</v>
      </c>
      <c r="F461" t="s">
        <v>0</v>
      </c>
      <c r="G461">
        <v>3</v>
      </c>
      <c r="H461">
        <v>2003</v>
      </c>
      <c r="I461" t="s">
        <v>22</v>
      </c>
      <c r="J461" t="s">
        <v>70</v>
      </c>
      <c r="K461" t="s">
        <v>26</v>
      </c>
      <c r="L461" t="s">
        <v>27</v>
      </c>
      <c r="M461" t="s">
        <v>28</v>
      </c>
      <c r="N461" t="s">
        <v>21</v>
      </c>
      <c r="O461" t="s">
        <v>137</v>
      </c>
      <c r="P461" t="s">
        <v>13</v>
      </c>
      <c r="Q461" t="s">
        <v>14</v>
      </c>
      <c r="R461" t="s">
        <v>352</v>
      </c>
      <c r="S461" t="s">
        <v>8</v>
      </c>
      <c r="T461" t="s">
        <v>361</v>
      </c>
      <c r="U461">
        <f>Sales_Order[[#This Row],[Quantity ordered]]*Sales_Order[[#This Row],[Price each]]</f>
        <v>3200</v>
      </c>
    </row>
    <row r="462" spans="1:21" x14ac:dyDescent="0.3">
      <c r="A462">
        <v>10171</v>
      </c>
      <c r="B462">
        <v>39</v>
      </c>
      <c r="C462">
        <v>100</v>
      </c>
      <c r="D462">
        <v>3</v>
      </c>
      <c r="E462" s="1">
        <v>37752</v>
      </c>
      <c r="F462" t="s">
        <v>0</v>
      </c>
      <c r="G462">
        <v>4</v>
      </c>
      <c r="H462">
        <v>2003</v>
      </c>
      <c r="I462" t="s">
        <v>22</v>
      </c>
      <c r="J462" t="s">
        <v>70</v>
      </c>
      <c r="K462" t="s">
        <v>237</v>
      </c>
      <c r="L462" t="s">
        <v>238</v>
      </c>
      <c r="M462" t="s">
        <v>239</v>
      </c>
      <c r="N462" t="s">
        <v>240</v>
      </c>
      <c r="O462" t="s">
        <v>241</v>
      </c>
      <c r="P462" t="s">
        <v>210</v>
      </c>
      <c r="Q462" t="s">
        <v>6</v>
      </c>
      <c r="R462" t="s">
        <v>353</v>
      </c>
      <c r="S462" t="s">
        <v>8</v>
      </c>
      <c r="T462" t="s">
        <v>334</v>
      </c>
      <c r="U462">
        <f>Sales_Order[[#This Row],[Quantity ordered]]*Sales_Order[[#This Row],[Price each]]</f>
        <v>3900</v>
      </c>
    </row>
    <row r="463" spans="1:21" x14ac:dyDescent="0.3">
      <c r="A463">
        <v>10192</v>
      </c>
      <c r="B463">
        <v>26</v>
      </c>
      <c r="C463">
        <v>100</v>
      </c>
      <c r="D463">
        <v>12</v>
      </c>
      <c r="E463" s="1">
        <v>37945</v>
      </c>
      <c r="F463" t="s">
        <v>0</v>
      </c>
      <c r="G463">
        <v>4</v>
      </c>
      <c r="H463">
        <v>2003</v>
      </c>
      <c r="I463" t="s">
        <v>22</v>
      </c>
      <c r="J463" t="s">
        <v>70</v>
      </c>
      <c r="K463" t="s">
        <v>228</v>
      </c>
      <c r="L463" t="s">
        <v>229</v>
      </c>
      <c r="M463" t="s">
        <v>230</v>
      </c>
      <c r="N463" t="s">
        <v>231</v>
      </c>
      <c r="O463" t="s">
        <v>232</v>
      </c>
      <c r="P463" t="s">
        <v>5</v>
      </c>
      <c r="Q463" t="s">
        <v>6</v>
      </c>
      <c r="R463" t="s">
        <v>350</v>
      </c>
      <c r="S463" t="s">
        <v>8</v>
      </c>
      <c r="T463" t="s">
        <v>334</v>
      </c>
      <c r="U463">
        <f>Sales_Order[[#This Row],[Quantity ordered]]*Sales_Order[[#This Row],[Price each]]</f>
        <v>2600</v>
      </c>
    </row>
    <row r="464" spans="1:21" x14ac:dyDescent="0.3">
      <c r="A464">
        <v>10195</v>
      </c>
      <c r="B464">
        <v>50</v>
      </c>
      <c r="C464">
        <v>100</v>
      </c>
      <c r="D464">
        <v>10</v>
      </c>
      <c r="E464" s="1">
        <v>37950</v>
      </c>
      <c r="F464" t="s">
        <v>0</v>
      </c>
      <c r="G464">
        <v>4</v>
      </c>
      <c r="H464">
        <v>2003</v>
      </c>
      <c r="I464" t="s">
        <v>22</v>
      </c>
      <c r="J464" t="s">
        <v>70</v>
      </c>
      <c r="K464" t="s">
        <v>248</v>
      </c>
      <c r="L464" t="s">
        <v>249</v>
      </c>
      <c r="M464" t="s">
        <v>250</v>
      </c>
      <c r="N464" t="s">
        <v>4</v>
      </c>
      <c r="O464" t="s">
        <v>251</v>
      </c>
      <c r="P464" t="s">
        <v>5</v>
      </c>
      <c r="Q464" t="s">
        <v>6</v>
      </c>
      <c r="R464" t="s">
        <v>356</v>
      </c>
      <c r="S464" t="s">
        <v>17</v>
      </c>
      <c r="T464" t="s">
        <v>334</v>
      </c>
      <c r="U464">
        <f>Sales_Order[[#This Row],[Quantity ordered]]*Sales_Order[[#This Row],[Price each]]</f>
        <v>5000</v>
      </c>
    </row>
    <row r="465" spans="1:21" x14ac:dyDescent="0.3">
      <c r="A465">
        <v>10207</v>
      </c>
      <c r="B465">
        <v>25</v>
      </c>
      <c r="C465">
        <v>100</v>
      </c>
      <c r="D465">
        <v>11</v>
      </c>
      <c r="E465" s="1">
        <v>37876</v>
      </c>
      <c r="F465" t="s">
        <v>0</v>
      </c>
      <c r="G465">
        <v>4</v>
      </c>
      <c r="H465">
        <v>2003</v>
      </c>
      <c r="I465" t="s">
        <v>22</v>
      </c>
      <c r="J465" t="s">
        <v>70</v>
      </c>
      <c r="K465" t="s">
        <v>277</v>
      </c>
      <c r="L465" t="s">
        <v>278</v>
      </c>
      <c r="M465" t="s">
        <v>265</v>
      </c>
      <c r="N465" t="s">
        <v>181</v>
      </c>
      <c r="O465" t="s">
        <v>266</v>
      </c>
      <c r="P465" t="s">
        <v>5</v>
      </c>
      <c r="Q465" t="s">
        <v>6</v>
      </c>
      <c r="R465" t="s">
        <v>364</v>
      </c>
      <c r="S465" t="s">
        <v>8</v>
      </c>
      <c r="T465" t="s">
        <v>336</v>
      </c>
      <c r="U465">
        <f>Sales_Order[[#This Row],[Quantity ordered]]*Sales_Order[[#This Row],[Price each]]</f>
        <v>2500</v>
      </c>
    </row>
    <row r="466" spans="1:21" x14ac:dyDescent="0.3">
      <c r="A466">
        <v>10229</v>
      </c>
      <c r="B466">
        <v>22</v>
      </c>
      <c r="C466">
        <v>100</v>
      </c>
      <c r="D466">
        <v>5</v>
      </c>
      <c r="E466" s="1">
        <v>38294</v>
      </c>
      <c r="F466" t="s">
        <v>0</v>
      </c>
      <c r="G466">
        <v>1</v>
      </c>
      <c r="H466">
        <v>2004</v>
      </c>
      <c r="I466" t="s">
        <v>22</v>
      </c>
      <c r="J466" t="s">
        <v>70</v>
      </c>
      <c r="K466" t="s">
        <v>225</v>
      </c>
      <c r="L466" t="s">
        <v>226</v>
      </c>
      <c r="M466" t="s">
        <v>227</v>
      </c>
      <c r="N466" t="s">
        <v>161</v>
      </c>
      <c r="O466" t="s">
        <v>177</v>
      </c>
      <c r="P466" t="s">
        <v>5</v>
      </c>
      <c r="Q466" t="s">
        <v>6</v>
      </c>
      <c r="R466" t="s">
        <v>349</v>
      </c>
      <c r="S466" t="s">
        <v>8</v>
      </c>
      <c r="T466" t="s">
        <v>338</v>
      </c>
      <c r="U466">
        <f>Sales_Order[[#This Row],[Quantity ordered]]*Sales_Order[[#This Row],[Price each]]</f>
        <v>2200</v>
      </c>
    </row>
    <row r="467" spans="1:21" x14ac:dyDescent="0.3">
      <c r="A467">
        <v>10271</v>
      </c>
      <c r="B467">
        <v>20</v>
      </c>
      <c r="C467">
        <v>100</v>
      </c>
      <c r="D467">
        <v>9</v>
      </c>
      <c r="E467" s="1">
        <v>38188</v>
      </c>
      <c r="F467" t="s">
        <v>0</v>
      </c>
      <c r="G467">
        <v>3</v>
      </c>
      <c r="H467">
        <v>2004</v>
      </c>
      <c r="I467" t="s">
        <v>22</v>
      </c>
      <c r="J467" t="s">
        <v>70</v>
      </c>
      <c r="K467" t="s">
        <v>225</v>
      </c>
      <c r="L467" t="s">
        <v>226</v>
      </c>
      <c r="M467" t="s">
        <v>227</v>
      </c>
      <c r="N467" t="s">
        <v>161</v>
      </c>
      <c r="O467" t="s">
        <v>177</v>
      </c>
      <c r="P467" t="s">
        <v>5</v>
      </c>
      <c r="Q467" t="s">
        <v>6</v>
      </c>
      <c r="R467" t="s">
        <v>349</v>
      </c>
      <c r="S467" t="s">
        <v>8</v>
      </c>
      <c r="T467" t="s">
        <v>339</v>
      </c>
      <c r="U467">
        <f>Sales_Order[[#This Row],[Quantity ordered]]*Sales_Order[[#This Row],[Price each]]</f>
        <v>2000</v>
      </c>
    </row>
    <row r="468" spans="1:21" x14ac:dyDescent="0.3">
      <c r="A468">
        <v>10278</v>
      </c>
      <c r="B468">
        <v>42</v>
      </c>
      <c r="C468">
        <v>100</v>
      </c>
      <c r="D468">
        <v>7</v>
      </c>
      <c r="E468" s="1">
        <v>38146</v>
      </c>
      <c r="F468" t="s">
        <v>0</v>
      </c>
      <c r="G468">
        <v>3</v>
      </c>
      <c r="H468">
        <v>2004</v>
      </c>
      <c r="I468" t="s">
        <v>22</v>
      </c>
      <c r="J468" t="s">
        <v>70</v>
      </c>
      <c r="K468" t="s">
        <v>290</v>
      </c>
      <c r="L468" t="s">
        <v>291</v>
      </c>
      <c r="M468" t="s">
        <v>292</v>
      </c>
      <c r="N468" t="s">
        <v>293</v>
      </c>
      <c r="O468" t="s">
        <v>294</v>
      </c>
      <c r="P468" t="s">
        <v>5</v>
      </c>
      <c r="Q468" t="s">
        <v>6</v>
      </c>
      <c r="R468" t="s">
        <v>370</v>
      </c>
      <c r="S468" t="s">
        <v>8</v>
      </c>
      <c r="T468" t="s">
        <v>322</v>
      </c>
      <c r="U468">
        <f>Sales_Order[[#This Row],[Quantity ordered]]*Sales_Order[[#This Row],[Price each]]</f>
        <v>4200</v>
      </c>
    </row>
    <row r="469" spans="1:21" x14ac:dyDescent="0.3">
      <c r="A469">
        <v>10281</v>
      </c>
      <c r="B469">
        <v>25</v>
      </c>
      <c r="C469">
        <v>100</v>
      </c>
      <c r="D469">
        <v>5</v>
      </c>
      <c r="E469" s="1">
        <v>38218</v>
      </c>
      <c r="F469" t="s">
        <v>0</v>
      </c>
      <c r="G469">
        <v>3</v>
      </c>
      <c r="H469">
        <v>2004</v>
      </c>
      <c r="I469" t="s">
        <v>22</v>
      </c>
      <c r="J469" t="s">
        <v>70</v>
      </c>
      <c r="K469" t="s">
        <v>183</v>
      </c>
      <c r="L469" t="s">
        <v>184</v>
      </c>
      <c r="M469" t="s">
        <v>185</v>
      </c>
      <c r="N469" t="s">
        <v>186</v>
      </c>
      <c r="O469" t="s">
        <v>187</v>
      </c>
      <c r="P469" t="s">
        <v>5</v>
      </c>
      <c r="Q469" t="s">
        <v>6</v>
      </c>
      <c r="R469" t="s">
        <v>333</v>
      </c>
      <c r="S469" t="s">
        <v>8</v>
      </c>
      <c r="T469" t="s">
        <v>322</v>
      </c>
      <c r="U469">
        <f>Sales_Order[[#This Row],[Quantity ordered]]*Sales_Order[[#This Row],[Price each]]</f>
        <v>2500</v>
      </c>
    </row>
    <row r="470" spans="1:21" x14ac:dyDescent="0.3">
      <c r="A470">
        <v>10292</v>
      </c>
      <c r="B470">
        <v>21</v>
      </c>
      <c r="C470">
        <v>100</v>
      </c>
      <c r="D470">
        <v>12</v>
      </c>
      <c r="E470" s="1">
        <v>38208</v>
      </c>
      <c r="F470" t="s">
        <v>0</v>
      </c>
      <c r="G470">
        <v>3</v>
      </c>
      <c r="H470">
        <v>2004</v>
      </c>
      <c r="I470" t="s">
        <v>22</v>
      </c>
      <c r="J470" t="s">
        <v>70</v>
      </c>
      <c r="K470" t="s">
        <v>155</v>
      </c>
      <c r="L470" t="s">
        <v>156</v>
      </c>
      <c r="M470" t="s">
        <v>3</v>
      </c>
      <c r="N470" t="s">
        <v>4</v>
      </c>
      <c r="O470" t="s">
        <v>135</v>
      </c>
      <c r="P470" t="s">
        <v>5</v>
      </c>
      <c r="Q470" t="s">
        <v>6</v>
      </c>
      <c r="R470" t="s">
        <v>319</v>
      </c>
      <c r="S470" t="s">
        <v>7</v>
      </c>
      <c r="T470" t="s">
        <v>361</v>
      </c>
      <c r="U470">
        <f>Sales_Order[[#This Row],[Quantity ordered]]*Sales_Order[[#This Row],[Price each]]</f>
        <v>2100</v>
      </c>
    </row>
    <row r="471" spans="1:21" x14ac:dyDescent="0.3">
      <c r="A471">
        <v>10305</v>
      </c>
      <c r="B471">
        <v>37</v>
      </c>
      <c r="C471">
        <v>100</v>
      </c>
      <c r="D471">
        <v>9</v>
      </c>
      <c r="E471" s="1">
        <v>38273</v>
      </c>
      <c r="F471" t="s">
        <v>0</v>
      </c>
      <c r="G471">
        <v>4</v>
      </c>
      <c r="H471">
        <v>2004</v>
      </c>
      <c r="I471" t="s">
        <v>22</v>
      </c>
      <c r="J471" t="s">
        <v>70</v>
      </c>
      <c r="K471" t="s">
        <v>178</v>
      </c>
      <c r="L471" t="s">
        <v>179</v>
      </c>
      <c r="M471" t="s">
        <v>180</v>
      </c>
      <c r="N471" t="s">
        <v>181</v>
      </c>
      <c r="O471" t="s">
        <v>182</v>
      </c>
      <c r="P471" t="s">
        <v>5</v>
      </c>
      <c r="Q471" t="s">
        <v>6</v>
      </c>
      <c r="R471" t="s">
        <v>332</v>
      </c>
      <c r="S471" t="s">
        <v>17</v>
      </c>
      <c r="T471" t="s">
        <v>324</v>
      </c>
      <c r="U471">
        <f>Sales_Order[[#This Row],[Quantity ordered]]*Sales_Order[[#This Row],[Price each]]</f>
        <v>3700</v>
      </c>
    </row>
    <row r="472" spans="1:21" x14ac:dyDescent="0.3">
      <c r="A472">
        <v>10313</v>
      </c>
      <c r="B472">
        <v>25</v>
      </c>
      <c r="C472">
        <v>100</v>
      </c>
      <c r="D472">
        <v>3</v>
      </c>
      <c r="E472" s="1">
        <v>38282</v>
      </c>
      <c r="F472" t="s">
        <v>0</v>
      </c>
      <c r="G472">
        <v>4</v>
      </c>
      <c r="H472">
        <v>2004</v>
      </c>
      <c r="I472" t="s">
        <v>22</v>
      </c>
      <c r="J472" t="s">
        <v>70</v>
      </c>
      <c r="K472" t="s">
        <v>205</v>
      </c>
      <c r="L472" t="s">
        <v>206</v>
      </c>
      <c r="M472" t="s">
        <v>207</v>
      </c>
      <c r="N472" t="s">
        <v>208</v>
      </c>
      <c r="O472" t="s">
        <v>209</v>
      </c>
      <c r="P472" t="s">
        <v>210</v>
      </c>
      <c r="Q472" t="s">
        <v>6</v>
      </c>
      <c r="R472" t="s">
        <v>343</v>
      </c>
      <c r="S472" t="s">
        <v>8</v>
      </c>
      <c r="T472" t="s">
        <v>324</v>
      </c>
      <c r="U472">
        <f>Sales_Order[[#This Row],[Quantity ordered]]*Sales_Order[[#This Row],[Price each]]</f>
        <v>2500</v>
      </c>
    </row>
    <row r="473" spans="1:21" x14ac:dyDescent="0.3">
      <c r="A473">
        <v>10321</v>
      </c>
      <c r="B473">
        <v>33</v>
      </c>
      <c r="C473">
        <v>100</v>
      </c>
      <c r="D473">
        <v>11</v>
      </c>
      <c r="E473" s="1">
        <v>38088</v>
      </c>
      <c r="F473" t="s">
        <v>0</v>
      </c>
      <c r="G473">
        <v>4</v>
      </c>
      <c r="H473">
        <v>2004</v>
      </c>
      <c r="I473" t="s">
        <v>22</v>
      </c>
      <c r="J473" t="s">
        <v>70</v>
      </c>
      <c r="K473" t="s">
        <v>189</v>
      </c>
      <c r="L473" t="s">
        <v>190</v>
      </c>
      <c r="M473" t="s">
        <v>191</v>
      </c>
      <c r="N473" t="s">
        <v>181</v>
      </c>
      <c r="O473" t="s">
        <v>192</v>
      </c>
      <c r="P473" t="s">
        <v>5</v>
      </c>
      <c r="Q473" t="s">
        <v>6</v>
      </c>
      <c r="R473" t="s">
        <v>337</v>
      </c>
      <c r="S473" t="s">
        <v>8</v>
      </c>
      <c r="T473" t="s">
        <v>334</v>
      </c>
      <c r="U473">
        <f>Sales_Order[[#This Row],[Quantity ordered]]*Sales_Order[[#This Row],[Price each]]</f>
        <v>3300</v>
      </c>
    </row>
    <row r="474" spans="1:21" x14ac:dyDescent="0.3">
      <c r="A474">
        <v>10324</v>
      </c>
      <c r="B474">
        <v>27</v>
      </c>
      <c r="C474">
        <v>100</v>
      </c>
      <c r="D474">
        <v>12</v>
      </c>
      <c r="E474" s="1">
        <v>38118</v>
      </c>
      <c r="F474" t="s">
        <v>0</v>
      </c>
      <c r="G474">
        <v>4</v>
      </c>
      <c r="H474">
        <v>2004</v>
      </c>
      <c r="I474" t="s">
        <v>22</v>
      </c>
      <c r="J474" t="s">
        <v>70</v>
      </c>
      <c r="K474" t="s">
        <v>15</v>
      </c>
      <c r="L474" t="s">
        <v>16</v>
      </c>
      <c r="M474" t="s">
        <v>3</v>
      </c>
      <c r="N474" t="s">
        <v>4</v>
      </c>
      <c r="O474" t="s">
        <v>135</v>
      </c>
      <c r="P474" t="s">
        <v>5</v>
      </c>
      <c r="Q474" t="s">
        <v>6</v>
      </c>
      <c r="R474" t="s">
        <v>326</v>
      </c>
      <c r="S474" t="s">
        <v>8</v>
      </c>
      <c r="T474" t="s">
        <v>334</v>
      </c>
      <c r="U474">
        <f>Sales_Order[[#This Row],[Quantity ordered]]*Sales_Order[[#This Row],[Price each]]</f>
        <v>2700</v>
      </c>
    </row>
    <row r="475" spans="1:21" x14ac:dyDescent="0.3">
      <c r="A475">
        <v>10331</v>
      </c>
      <c r="B475">
        <v>27</v>
      </c>
      <c r="C475">
        <v>100</v>
      </c>
      <c r="D475">
        <v>11</v>
      </c>
      <c r="E475" s="1">
        <v>38308</v>
      </c>
      <c r="F475" t="s">
        <v>0</v>
      </c>
      <c r="G475">
        <v>4</v>
      </c>
      <c r="H475">
        <v>2004</v>
      </c>
      <c r="I475" t="s">
        <v>22</v>
      </c>
      <c r="J475" t="s">
        <v>70</v>
      </c>
      <c r="K475" t="s">
        <v>246</v>
      </c>
      <c r="L475" t="s">
        <v>247</v>
      </c>
      <c r="M475" t="s">
        <v>203</v>
      </c>
      <c r="N475" t="s">
        <v>186</v>
      </c>
      <c r="O475" t="s">
        <v>204</v>
      </c>
      <c r="P475" t="s">
        <v>5</v>
      </c>
      <c r="Q475" t="s">
        <v>6</v>
      </c>
      <c r="R475" t="s">
        <v>355</v>
      </c>
      <c r="S475" t="s">
        <v>8</v>
      </c>
      <c r="T475" t="s">
        <v>334</v>
      </c>
      <c r="U475">
        <f>Sales_Order[[#This Row],[Quantity ordered]]*Sales_Order[[#This Row],[Price each]]</f>
        <v>2700</v>
      </c>
    </row>
    <row r="476" spans="1:21" x14ac:dyDescent="0.3">
      <c r="A476">
        <v>10342</v>
      </c>
      <c r="B476">
        <v>30</v>
      </c>
      <c r="C476">
        <v>100</v>
      </c>
      <c r="D476">
        <v>4</v>
      </c>
      <c r="E476" s="1">
        <v>38315</v>
      </c>
      <c r="F476" t="s">
        <v>0</v>
      </c>
      <c r="G476">
        <v>4</v>
      </c>
      <c r="H476">
        <v>2004</v>
      </c>
      <c r="I476" t="s">
        <v>22</v>
      </c>
      <c r="J476" t="s">
        <v>70</v>
      </c>
      <c r="K476" t="s">
        <v>9</v>
      </c>
      <c r="L476" t="s">
        <v>10</v>
      </c>
      <c r="M476" t="s">
        <v>11</v>
      </c>
      <c r="N476" t="s">
        <v>12</v>
      </c>
      <c r="O476" t="s">
        <v>134</v>
      </c>
      <c r="P476" t="s">
        <v>13</v>
      </c>
      <c r="Q476" t="s">
        <v>14</v>
      </c>
      <c r="R476" t="s">
        <v>325</v>
      </c>
      <c r="S476" t="s">
        <v>8</v>
      </c>
      <c r="T476" t="s">
        <v>334</v>
      </c>
      <c r="U476">
        <f>Sales_Order[[#This Row],[Quantity ordered]]*Sales_Order[[#This Row],[Price each]]</f>
        <v>3000</v>
      </c>
    </row>
    <row r="477" spans="1:21" x14ac:dyDescent="0.3">
      <c r="A477">
        <v>10349</v>
      </c>
      <c r="B477">
        <v>48</v>
      </c>
      <c r="C477">
        <v>100</v>
      </c>
      <c r="D477">
        <v>6</v>
      </c>
      <c r="E477" s="1">
        <v>37998</v>
      </c>
      <c r="F477" t="s">
        <v>0</v>
      </c>
      <c r="G477">
        <v>4</v>
      </c>
      <c r="H477">
        <v>2004</v>
      </c>
      <c r="I477" t="s">
        <v>22</v>
      </c>
      <c r="J477" t="s">
        <v>70</v>
      </c>
      <c r="K477" t="s">
        <v>36</v>
      </c>
      <c r="L477" t="s">
        <v>37</v>
      </c>
      <c r="M477" t="s">
        <v>3</v>
      </c>
      <c r="N477" t="s">
        <v>4</v>
      </c>
      <c r="O477" t="s">
        <v>135</v>
      </c>
      <c r="P477" t="s">
        <v>5</v>
      </c>
      <c r="Q477" t="s">
        <v>6</v>
      </c>
      <c r="R477" t="s">
        <v>366</v>
      </c>
      <c r="S477" t="s">
        <v>17</v>
      </c>
      <c r="T477" t="s">
        <v>336</v>
      </c>
      <c r="U477">
        <f>Sales_Order[[#This Row],[Quantity ordered]]*Sales_Order[[#This Row],[Price each]]</f>
        <v>4800</v>
      </c>
    </row>
    <row r="478" spans="1:21" x14ac:dyDescent="0.3">
      <c r="A478">
        <v>10370</v>
      </c>
      <c r="B478">
        <v>27</v>
      </c>
      <c r="C478">
        <v>56.85</v>
      </c>
      <c r="D478">
        <v>9</v>
      </c>
      <c r="E478" s="1">
        <v>38372</v>
      </c>
      <c r="F478" t="s">
        <v>0</v>
      </c>
      <c r="G478">
        <v>1</v>
      </c>
      <c r="H478">
        <v>2005</v>
      </c>
      <c r="I478" t="s">
        <v>22</v>
      </c>
      <c r="J478" t="s">
        <v>70</v>
      </c>
      <c r="K478" t="s">
        <v>26</v>
      </c>
      <c r="L478" t="s">
        <v>27</v>
      </c>
      <c r="M478" t="s">
        <v>28</v>
      </c>
      <c r="N478" t="s">
        <v>21</v>
      </c>
      <c r="O478" t="s">
        <v>137</v>
      </c>
      <c r="P478" t="s">
        <v>13</v>
      </c>
      <c r="Q478" t="s">
        <v>14</v>
      </c>
      <c r="R478" t="s">
        <v>352</v>
      </c>
      <c r="S478" t="s">
        <v>7</v>
      </c>
      <c r="T478" t="s">
        <v>345</v>
      </c>
      <c r="U478">
        <f>Sales_Order[[#This Row],[Quantity ordered]]*Sales_Order[[#This Row],[Price each]]</f>
        <v>1534.95</v>
      </c>
    </row>
    <row r="479" spans="1:21" x14ac:dyDescent="0.3">
      <c r="A479">
        <v>10142</v>
      </c>
      <c r="B479">
        <v>22</v>
      </c>
      <c r="C479">
        <v>97.81</v>
      </c>
      <c r="D479">
        <v>10</v>
      </c>
      <c r="E479" s="1">
        <v>37841</v>
      </c>
      <c r="F479" t="s">
        <v>0</v>
      </c>
      <c r="G479">
        <v>3</v>
      </c>
      <c r="H479">
        <v>2003</v>
      </c>
      <c r="I479" t="s">
        <v>71</v>
      </c>
      <c r="J479" t="s">
        <v>308</v>
      </c>
      <c r="K479" t="s">
        <v>225</v>
      </c>
      <c r="L479" t="s">
        <v>226</v>
      </c>
      <c r="M479" t="s">
        <v>227</v>
      </c>
      <c r="N479" t="s">
        <v>161</v>
      </c>
      <c r="O479" t="s">
        <v>177</v>
      </c>
      <c r="P479" t="s">
        <v>5</v>
      </c>
      <c r="Q479" t="s">
        <v>6</v>
      </c>
      <c r="R479" t="s">
        <v>349</v>
      </c>
      <c r="S479" t="s">
        <v>7</v>
      </c>
      <c r="T479" t="s">
        <v>322</v>
      </c>
      <c r="U479">
        <f>Sales_Order[[#This Row],[Quantity ordered]]*Sales_Order[[#This Row],[Price each]]</f>
        <v>2151.8200000000002</v>
      </c>
    </row>
    <row r="480" spans="1:21" x14ac:dyDescent="0.3">
      <c r="A480">
        <v>10185</v>
      </c>
      <c r="B480">
        <v>49</v>
      </c>
      <c r="C480">
        <v>80.67</v>
      </c>
      <c r="D480">
        <v>11</v>
      </c>
      <c r="E480" s="1">
        <v>37939</v>
      </c>
      <c r="F480" t="s">
        <v>0</v>
      </c>
      <c r="G480">
        <v>4</v>
      </c>
      <c r="H480">
        <v>2003</v>
      </c>
      <c r="I480" t="s">
        <v>71</v>
      </c>
      <c r="J480" t="s">
        <v>308</v>
      </c>
      <c r="K480" t="s">
        <v>252</v>
      </c>
      <c r="L480" t="s">
        <v>253</v>
      </c>
      <c r="M480" t="s">
        <v>191</v>
      </c>
      <c r="N480" t="s">
        <v>181</v>
      </c>
      <c r="O480" t="s">
        <v>192</v>
      </c>
      <c r="P480" t="s">
        <v>5</v>
      </c>
      <c r="Q480" t="s">
        <v>6</v>
      </c>
      <c r="R480" t="s">
        <v>357</v>
      </c>
      <c r="S480" t="s">
        <v>8</v>
      </c>
      <c r="T480" t="s">
        <v>334</v>
      </c>
      <c r="U480">
        <f>Sales_Order[[#This Row],[Quantity ordered]]*Sales_Order[[#This Row],[Price each]]</f>
        <v>3952.83</v>
      </c>
    </row>
    <row r="481" spans="1:21" x14ac:dyDescent="0.3">
      <c r="A481">
        <v>10196</v>
      </c>
      <c r="B481">
        <v>35</v>
      </c>
      <c r="C481">
        <v>100</v>
      </c>
      <c r="D481">
        <v>3</v>
      </c>
      <c r="E481" s="1">
        <v>37951</v>
      </c>
      <c r="F481" t="s">
        <v>0</v>
      </c>
      <c r="G481">
        <v>4</v>
      </c>
      <c r="H481">
        <v>2003</v>
      </c>
      <c r="I481" t="s">
        <v>71</v>
      </c>
      <c r="J481" t="s">
        <v>308</v>
      </c>
      <c r="K481" t="s">
        <v>216</v>
      </c>
      <c r="L481" t="s">
        <v>217</v>
      </c>
      <c r="M481" t="s">
        <v>218</v>
      </c>
      <c r="N481" t="s">
        <v>176</v>
      </c>
      <c r="O481" t="s">
        <v>219</v>
      </c>
      <c r="P481" t="s">
        <v>5</v>
      </c>
      <c r="Q481" t="s">
        <v>6</v>
      </c>
      <c r="R481" t="s">
        <v>347</v>
      </c>
      <c r="S481" t="s">
        <v>8</v>
      </c>
      <c r="T481" t="s">
        <v>334</v>
      </c>
      <c r="U481">
        <f>Sales_Order[[#This Row],[Quantity ordered]]*Sales_Order[[#This Row],[Price each]]</f>
        <v>3500</v>
      </c>
    </row>
    <row r="482" spans="1:21" x14ac:dyDescent="0.3">
      <c r="A482">
        <v>10232</v>
      </c>
      <c r="B482">
        <v>48</v>
      </c>
      <c r="C482">
        <v>95.8</v>
      </c>
      <c r="D482">
        <v>8</v>
      </c>
      <c r="E482" s="1">
        <v>38066</v>
      </c>
      <c r="F482" t="s">
        <v>0</v>
      </c>
      <c r="G482">
        <v>1</v>
      </c>
      <c r="H482">
        <v>2004</v>
      </c>
      <c r="I482" t="s">
        <v>71</v>
      </c>
      <c r="J482" t="s">
        <v>308</v>
      </c>
      <c r="K482" t="s">
        <v>267</v>
      </c>
      <c r="L482" t="s">
        <v>268</v>
      </c>
      <c r="M482" t="s">
        <v>269</v>
      </c>
      <c r="N482" t="s">
        <v>270</v>
      </c>
      <c r="O482" t="s">
        <v>271</v>
      </c>
      <c r="P482" t="s">
        <v>193</v>
      </c>
      <c r="Q482" t="s">
        <v>157</v>
      </c>
      <c r="R482" t="s">
        <v>362</v>
      </c>
      <c r="S482" t="s">
        <v>8</v>
      </c>
      <c r="T482" t="s">
        <v>338</v>
      </c>
      <c r="U482">
        <f>Sales_Order[[#This Row],[Quantity ordered]]*Sales_Order[[#This Row],[Price each]]</f>
        <v>4598.3999999999996</v>
      </c>
    </row>
    <row r="483" spans="1:21" x14ac:dyDescent="0.3">
      <c r="A483">
        <v>10248</v>
      </c>
      <c r="B483">
        <v>42</v>
      </c>
      <c r="C483">
        <v>100</v>
      </c>
      <c r="D483">
        <v>14</v>
      </c>
      <c r="E483" s="1">
        <v>38173</v>
      </c>
      <c r="F483" t="s">
        <v>254</v>
      </c>
      <c r="G483">
        <v>2</v>
      </c>
      <c r="H483">
        <v>2004</v>
      </c>
      <c r="I483" t="s">
        <v>71</v>
      </c>
      <c r="J483" t="s">
        <v>308</v>
      </c>
      <c r="K483" t="s">
        <v>155</v>
      </c>
      <c r="L483" t="s">
        <v>156</v>
      </c>
      <c r="M483" t="s">
        <v>3</v>
      </c>
      <c r="N483" t="s">
        <v>4</v>
      </c>
      <c r="O483" t="s">
        <v>135</v>
      </c>
      <c r="P483" t="s">
        <v>5</v>
      </c>
      <c r="Q483" t="s">
        <v>6</v>
      </c>
      <c r="R483" t="s">
        <v>319</v>
      </c>
      <c r="S483" t="s">
        <v>8</v>
      </c>
      <c r="T483" t="s">
        <v>329</v>
      </c>
      <c r="U483">
        <f>Sales_Order[[#This Row],[Quantity ordered]]*Sales_Order[[#This Row],[Price each]]</f>
        <v>4200</v>
      </c>
    </row>
    <row r="484" spans="1:21" x14ac:dyDescent="0.3">
      <c r="A484">
        <v>10282</v>
      </c>
      <c r="B484">
        <v>36</v>
      </c>
      <c r="C484">
        <v>100</v>
      </c>
      <c r="D484">
        <v>3</v>
      </c>
      <c r="E484" s="1">
        <v>38219</v>
      </c>
      <c r="F484" t="s">
        <v>0</v>
      </c>
      <c r="G484">
        <v>3</v>
      </c>
      <c r="H484">
        <v>2004</v>
      </c>
      <c r="I484" t="s">
        <v>71</v>
      </c>
      <c r="J484" t="s">
        <v>308</v>
      </c>
      <c r="K484" t="s">
        <v>225</v>
      </c>
      <c r="L484" t="s">
        <v>226</v>
      </c>
      <c r="M484" t="s">
        <v>227</v>
      </c>
      <c r="N484" t="s">
        <v>161</v>
      </c>
      <c r="O484" t="s">
        <v>177</v>
      </c>
      <c r="P484" t="s">
        <v>5</v>
      </c>
      <c r="Q484" t="s">
        <v>6</v>
      </c>
      <c r="R484" t="s">
        <v>349</v>
      </c>
      <c r="S484" t="s">
        <v>8</v>
      </c>
      <c r="T484" t="s">
        <v>322</v>
      </c>
      <c r="U484">
        <f>Sales_Order[[#This Row],[Quantity ordered]]*Sales_Order[[#This Row],[Price each]]</f>
        <v>3600</v>
      </c>
    </row>
    <row r="485" spans="1:21" x14ac:dyDescent="0.3">
      <c r="A485">
        <v>10372</v>
      </c>
      <c r="B485">
        <v>25</v>
      </c>
      <c r="C485">
        <v>84.71</v>
      </c>
      <c r="D485">
        <v>5</v>
      </c>
      <c r="E485" s="1">
        <v>38378</v>
      </c>
      <c r="F485" t="s">
        <v>0</v>
      </c>
      <c r="G485">
        <v>1</v>
      </c>
      <c r="H485">
        <v>2005</v>
      </c>
      <c r="I485" t="s">
        <v>71</v>
      </c>
      <c r="J485" t="s">
        <v>308</v>
      </c>
      <c r="K485" t="s">
        <v>220</v>
      </c>
      <c r="L485" t="s">
        <v>221</v>
      </c>
      <c r="M485" t="s">
        <v>222</v>
      </c>
      <c r="N485" t="s">
        <v>223</v>
      </c>
      <c r="O485" t="s">
        <v>224</v>
      </c>
      <c r="P485" t="s">
        <v>195</v>
      </c>
      <c r="Q485" t="s">
        <v>195</v>
      </c>
      <c r="R485" t="s">
        <v>348</v>
      </c>
      <c r="S485" t="s">
        <v>7</v>
      </c>
      <c r="T485" t="s">
        <v>345</v>
      </c>
      <c r="U485">
        <f>Sales_Order[[#This Row],[Quantity ordered]]*Sales_Order[[#This Row],[Price each]]</f>
        <v>2117.75</v>
      </c>
    </row>
    <row r="486" spans="1:21" x14ac:dyDescent="0.3">
      <c r="A486">
        <v>10396</v>
      </c>
      <c r="B486">
        <v>24</v>
      </c>
      <c r="C486">
        <v>89.75</v>
      </c>
      <c r="D486">
        <v>4</v>
      </c>
      <c r="E486" s="1">
        <v>38434</v>
      </c>
      <c r="F486" t="s">
        <v>0</v>
      </c>
      <c r="G486">
        <v>1</v>
      </c>
      <c r="H486">
        <v>2005</v>
      </c>
      <c r="I486" t="s">
        <v>71</v>
      </c>
      <c r="J486" t="s">
        <v>308</v>
      </c>
      <c r="K486" t="s">
        <v>225</v>
      </c>
      <c r="L486" t="s">
        <v>226</v>
      </c>
      <c r="M486" t="s">
        <v>227</v>
      </c>
      <c r="N486" t="s">
        <v>161</v>
      </c>
      <c r="O486" t="s">
        <v>177</v>
      </c>
      <c r="P486" t="s">
        <v>5</v>
      </c>
      <c r="Q486" t="s">
        <v>6</v>
      </c>
      <c r="R486" t="s">
        <v>349</v>
      </c>
      <c r="S486" t="s">
        <v>7</v>
      </c>
      <c r="T486" t="s">
        <v>338</v>
      </c>
      <c r="U486">
        <f>Sales_Order[[#This Row],[Quantity ordered]]*Sales_Order[[#This Row],[Price each]]</f>
        <v>2154</v>
      </c>
    </row>
    <row r="487" spans="1:21" x14ac:dyDescent="0.3">
      <c r="A487">
        <v>10414</v>
      </c>
      <c r="B487">
        <v>48</v>
      </c>
      <c r="C487">
        <v>100</v>
      </c>
      <c r="D487">
        <v>14</v>
      </c>
      <c r="E487" s="1">
        <v>38508</v>
      </c>
      <c r="F487" t="s">
        <v>275</v>
      </c>
      <c r="G487">
        <v>2</v>
      </c>
      <c r="H487">
        <v>2005</v>
      </c>
      <c r="I487" t="s">
        <v>71</v>
      </c>
      <c r="J487" t="s">
        <v>308</v>
      </c>
      <c r="K487" t="s">
        <v>263</v>
      </c>
      <c r="L487" t="s">
        <v>264</v>
      </c>
      <c r="M487" t="s">
        <v>265</v>
      </c>
      <c r="N487" t="s">
        <v>181</v>
      </c>
      <c r="O487" t="s">
        <v>266</v>
      </c>
      <c r="P487" t="s">
        <v>5</v>
      </c>
      <c r="Q487" t="s">
        <v>6</v>
      </c>
      <c r="R487" t="s">
        <v>360</v>
      </c>
      <c r="S487" t="s">
        <v>8</v>
      </c>
      <c r="T487" t="s">
        <v>329</v>
      </c>
      <c r="U487">
        <f>Sales_Order[[#This Row],[Quantity ordered]]*Sales_Order[[#This Row],[Price each]]</f>
        <v>4800</v>
      </c>
    </row>
    <row r="488" spans="1:21" x14ac:dyDescent="0.3">
      <c r="A488">
        <v>10135</v>
      </c>
      <c r="B488">
        <v>45</v>
      </c>
      <c r="C488">
        <v>78</v>
      </c>
      <c r="D488">
        <v>10</v>
      </c>
      <c r="E488" s="1">
        <v>37659</v>
      </c>
      <c r="F488" t="s">
        <v>0</v>
      </c>
      <c r="G488">
        <v>3</v>
      </c>
      <c r="H488">
        <v>2003</v>
      </c>
      <c r="I488" t="s">
        <v>22</v>
      </c>
      <c r="J488" t="s">
        <v>72</v>
      </c>
      <c r="K488" t="s">
        <v>225</v>
      </c>
      <c r="L488" t="s">
        <v>226</v>
      </c>
      <c r="M488" t="s">
        <v>227</v>
      </c>
      <c r="N488" t="s">
        <v>161</v>
      </c>
      <c r="O488" t="s">
        <v>177</v>
      </c>
      <c r="P488" t="s">
        <v>5</v>
      </c>
      <c r="Q488" t="s">
        <v>6</v>
      </c>
      <c r="R488" t="s">
        <v>349</v>
      </c>
      <c r="S488" t="s">
        <v>8</v>
      </c>
      <c r="T488" t="s">
        <v>339</v>
      </c>
      <c r="U488">
        <f>Sales_Order[[#This Row],[Quantity ordered]]*Sales_Order[[#This Row],[Price each]]</f>
        <v>3510</v>
      </c>
    </row>
    <row r="489" spans="1:21" x14ac:dyDescent="0.3">
      <c r="A489">
        <v>10147</v>
      </c>
      <c r="B489">
        <v>36</v>
      </c>
      <c r="C489">
        <v>86.04</v>
      </c>
      <c r="D489">
        <v>10</v>
      </c>
      <c r="E489" s="1">
        <v>37750</v>
      </c>
      <c r="F489" t="s">
        <v>0</v>
      </c>
      <c r="G489">
        <v>3</v>
      </c>
      <c r="H489">
        <v>2003</v>
      </c>
      <c r="I489" t="s">
        <v>22</v>
      </c>
      <c r="J489" t="s">
        <v>72</v>
      </c>
      <c r="K489" t="s">
        <v>233</v>
      </c>
      <c r="L489" t="s">
        <v>234</v>
      </c>
      <c r="M489" t="s">
        <v>235</v>
      </c>
      <c r="N489" t="s">
        <v>181</v>
      </c>
      <c r="O489" t="s">
        <v>236</v>
      </c>
      <c r="P489" t="s">
        <v>5</v>
      </c>
      <c r="Q489" t="s">
        <v>6</v>
      </c>
      <c r="R489" t="s">
        <v>351</v>
      </c>
      <c r="S489" t="s">
        <v>8</v>
      </c>
      <c r="T489" t="s">
        <v>361</v>
      </c>
      <c r="U489">
        <f>Sales_Order[[#This Row],[Quantity ordered]]*Sales_Order[[#This Row],[Price each]]</f>
        <v>3097.44</v>
      </c>
    </row>
    <row r="490" spans="1:21" x14ac:dyDescent="0.3">
      <c r="A490">
        <v>10169</v>
      </c>
      <c r="B490">
        <v>32</v>
      </c>
      <c r="C490">
        <v>70.760000000000005</v>
      </c>
      <c r="D490">
        <v>5</v>
      </c>
      <c r="E490" s="1">
        <v>37722</v>
      </c>
      <c r="F490" t="s">
        <v>0</v>
      </c>
      <c r="G490">
        <v>4</v>
      </c>
      <c r="H490">
        <v>2003</v>
      </c>
      <c r="I490" t="s">
        <v>22</v>
      </c>
      <c r="J490" t="s">
        <v>72</v>
      </c>
      <c r="K490" t="s">
        <v>26</v>
      </c>
      <c r="L490" t="s">
        <v>27</v>
      </c>
      <c r="M490" t="s">
        <v>28</v>
      </c>
      <c r="N490" t="s">
        <v>21</v>
      </c>
      <c r="O490" t="s">
        <v>137</v>
      </c>
      <c r="P490" t="s">
        <v>13</v>
      </c>
      <c r="Q490" t="s">
        <v>14</v>
      </c>
      <c r="R490" t="s">
        <v>352</v>
      </c>
      <c r="S490" t="s">
        <v>7</v>
      </c>
      <c r="T490" t="s">
        <v>334</v>
      </c>
      <c r="U490">
        <f>Sales_Order[[#This Row],[Quantity ordered]]*Sales_Order[[#This Row],[Price each]]</f>
        <v>2264.3200000000002</v>
      </c>
    </row>
    <row r="491" spans="1:21" x14ac:dyDescent="0.3">
      <c r="A491">
        <v>10265</v>
      </c>
      <c r="B491">
        <v>45</v>
      </c>
      <c r="C491">
        <v>86.84</v>
      </c>
      <c r="D491">
        <v>2</v>
      </c>
      <c r="E491" s="1">
        <v>38024</v>
      </c>
      <c r="F491" t="s">
        <v>0</v>
      </c>
      <c r="G491">
        <v>3</v>
      </c>
      <c r="H491">
        <v>2004</v>
      </c>
      <c r="I491" t="s">
        <v>22</v>
      </c>
      <c r="J491" t="s">
        <v>72</v>
      </c>
      <c r="K491" t="s">
        <v>296</v>
      </c>
      <c r="L491" t="s">
        <v>297</v>
      </c>
      <c r="M491" t="s">
        <v>298</v>
      </c>
      <c r="N491" t="s">
        <v>12</v>
      </c>
      <c r="O491" t="s">
        <v>299</v>
      </c>
      <c r="P491" t="s">
        <v>13</v>
      </c>
      <c r="Q491" t="s">
        <v>14</v>
      </c>
      <c r="R491" t="s">
        <v>371</v>
      </c>
      <c r="S491" t="s">
        <v>8</v>
      </c>
      <c r="T491" t="s">
        <v>339</v>
      </c>
      <c r="U491">
        <f>Sales_Order[[#This Row],[Quantity ordered]]*Sales_Order[[#This Row],[Price each]]</f>
        <v>3907.8</v>
      </c>
    </row>
    <row r="492" spans="1:21" x14ac:dyDescent="0.3">
      <c r="A492">
        <v>10276</v>
      </c>
      <c r="B492">
        <v>38</v>
      </c>
      <c r="C492">
        <v>69.959999999999994</v>
      </c>
      <c r="D492">
        <v>6</v>
      </c>
      <c r="E492" s="1">
        <v>38025</v>
      </c>
      <c r="F492" t="s">
        <v>0</v>
      </c>
      <c r="G492">
        <v>3</v>
      </c>
      <c r="H492">
        <v>2004</v>
      </c>
      <c r="I492" t="s">
        <v>22</v>
      </c>
      <c r="J492" t="s">
        <v>72</v>
      </c>
      <c r="K492" t="s">
        <v>279</v>
      </c>
      <c r="L492" t="s">
        <v>280</v>
      </c>
      <c r="M492" t="s">
        <v>235</v>
      </c>
      <c r="N492" t="s">
        <v>181</v>
      </c>
      <c r="O492" t="s">
        <v>236</v>
      </c>
      <c r="P492" t="s">
        <v>5</v>
      </c>
      <c r="Q492" t="s">
        <v>6</v>
      </c>
      <c r="R492" t="s">
        <v>365</v>
      </c>
      <c r="S492" t="s">
        <v>7</v>
      </c>
      <c r="T492" t="s">
        <v>322</v>
      </c>
      <c r="U492">
        <f>Sales_Order[[#This Row],[Quantity ordered]]*Sales_Order[[#This Row],[Price each]]</f>
        <v>2658.4799999999996</v>
      </c>
    </row>
    <row r="493" spans="1:21" x14ac:dyDescent="0.3">
      <c r="A493">
        <v>10319</v>
      </c>
      <c r="B493">
        <v>46</v>
      </c>
      <c r="C493">
        <v>73.98</v>
      </c>
      <c r="D493">
        <v>1</v>
      </c>
      <c r="E493" s="1">
        <v>38057</v>
      </c>
      <c r="F493" t="s">
        <v>0</v>
      </c>
      <c r="G493">
        <v>4</v>
      </c>
      <c r="H493">
        <v>2004</v>
      </c>
      <c r="I493" t="s">
        <v>22</v>
      </c>
      <c r="J493" t="s">
        <v>72</v>
      </c>
      <c r="K493" t="s">
        <v>41</v>
      </c>
      <c r="L493" t="s">
        <v>42</v>
      </c>
      <c r="M493" t="s">
        <v>3</v>
      </c>
      <c r="N493" t="s">
        <v>4</v>
      </c>
      <c r="O493" t="s">
        <v>135</v>
      </c>
      <c r="P493" t="s">
        <v>5</v>
      </c>
      <c r="Q493" t="s">
        <v>6</v>
      </c>
      <c r="R493" t="s">
        <v>367</v>
      </c>
      <c r="S493" t="s">
        <v>8</v>
      </c>
      <c r="T493" t="s">
        <v>334</v>
      </c>
      <c r="U493">
        <f>Sales_Order[[#This Row],[Quantity ordered]]*Sales_Order[[#This Row],[Price each]]</f>
        <v>3403.0800000000004</v>
      </c>
    </row>
    <row r="494" spans="1:21" x14ac:dyDescent="0.3">
      <c r="A494">
        <v>10329</v>
      </c>
      <c r="B494">
        <v>38</v>
      </c>
      <c r="C494">
        <v>59.1</v>
      </c>
      <c r="D494">
        <v>10</v>
      </c>
      <c r="E494" s="1">
        <v>38306</v>
      </c>
      <c r="F494" t="s">
        <v>0</v>
      </c>
      <c r="G494">
        <v>4</v>
      </c>
      <c r="H494">
        <v>2004</v>
      </c>
      <c r="I494" t="s">
        <v>22</v>
      </c>
      <c r="J494" t="s">
        <v>72</v>
      </c>
      <c r="K494" t="s">
        <v>155</v>
      </c>
      <c r="L494" t="s">
        <v>156</v>
      </c>
      <c r="M494" t="s">
        <v>3</v>
      </c>
      <c r="N494" t="s">
        <v>4</v>
      </c>
      <c r="O494" t="s">
        <v>135</v>
      </c>
      <c r="P494" t="s">
        <v>5</v>
      </c>
      <c r="Q494" t="s">
        <v>6</v>
      </c>
      <c r="R494" t="s">
        <v>319</v>
      </c>
      <c r="S494" t="s">
        <v>7</v>
      </c>
      <c r="T494" t="s">
        <v>334</v>
      </c>
      <c r="U494">
        <f>Sales_Order[[#This Row],[Quantity ordered]]*Sales_Order[[#This Row],[Price each]]</f>
        <v>2245.8000000000002</v>
      </c>
    </row>
    <row r="495" spans="1:21" x14ac:dyDescent="0.3">
      <c r="A495">
        <v>10342</v>
      </c>
      <c r="B495">
        <v>25</v>
      </c>
      <c r="C495">
        <v>66.739999999999995</v>
      </c>
      <c r="D495">
        <v>5</v>
      </c>
      <c r="E495" s="1">
        <v>38315</v>
      </c>
      <c r="F495" t="s">
        <v>0</v>
      </c>
      <c r="G495">
        <v>4</v>
      </c>
      <c r="H495">
        <v>2004</v>
      </c>
      <c r="I495" t="s">
        <v>22</v>
      </c>
      <c r="J495" t="s">
        <v>72</v>
      </c>
      <c r="K495" t="s">
        <v>9</v>
      </c>
      <c r="L495" t="s">
        <v>10</v>
      </c>
      <c r="M495" t="s">
        <v>11</v>
      </c>
      <c r="N495" t="s">
        <v>12</v>
      </c>
      <c r="O495" t="s">
        <v>134</v>
      </c>
      <c r="P495" t="s">
        <v>13</v>
      </c>
      <c r="Q495" t="s">
        <v>14</v>
      </c>
      <c r="R495" t="s">
        <v>325</v>
      </c>
      <c r="S495" t="s">
        <v>7</v>
      </c>
      <c r="T495" t="s">
        <v>334</v>
      </c>
      <c r="U495">
        <f>Sales_Order[[#This Row],[Quantity ordered]]*Sales_Order[[#This Row],[Price each]]</f>
        <v>1668.4999999999998</v>
      </c>
    </row>
    <row r="496" spans="1:21" x14ac:dyDescent="0.3">
      <c r="A496">
        <v>10390</v>
      </c>
      <c r="B496">
        <v>40</v>
      </c>
      <c r="C496">
        <v>100</v>
      </c>
      <c r="D496">
        <v>9</v>
      </c>
      <c r="E496" s="1">
        <v>38445</v>
      </c>
      <c r="F496" t="s">
        <v>0</v>
      </c>
      <c r="G496">
        <v>1</v>
      </c>
      <c r="H496">
        <v>2005</v>
      </c>
      <c r="I496" t="s">
        <v>22</v>
      </c>
      <c r="J496" t="s">
        <v>72</v>
      </c>
      <c r="K496" t="s">
        <v>225</v>
      </c>
      <c r="L496" t="s">
        <v>226</v>
      </c>
      <c r="M496" t="s">
        <v>227</v>
      </c>
      <c r="N496" t="s">
        <v>161</v>
      </c>
      <c r="O496" t="s">
        <v>177</v>
      </c>
      <c r="P496" t="s">
        <v>5</v>
      </c>
      <c r="Q496" t="s">
        <v>6</v>
      </c>
      <c r="R496" t="s">
        <v>349</v>
      </c>
      <c r="S496" t="s">
        <v>8</v>
      </c>
      <c r="T496" t="s">
        <v>338</v>
      </c>
      <c r="U496">
        <f>Sales_Order[[#This Row],[Quantity ordered]]*Sales_Order[[#This Row],[Price each]]</f>
        <v>4000</v>
      </c>
    </row>
    <row r="497" spans="1:21" x14ac:dyDescent="0.3">
      <c r="A497">
        <v>10139</v>
      </c>
      <c r="B497">
        <v>30</v>
      </c>
      <c r="C497">
        <v>100</v>
      </c>
      <c r="D497">
        <v>5</v>
      </c>
      <c r="E497" s="1">
        <v>37818</v>
      </c>
      <c r="F497" t="s">
        <v>0</v>
      </c>
      <c r="G497">
        <v>3</v>
      </c>
      <c r="H497">
        <v>2003</v>
      </c>
      <c r="I497" t="s">
        <v>49</v>
      </c>
      <c r="J497" t="s">
        <v>73</v>
      </c>
      <c r="K497" t="s">
        <v>18</v>
      </c>
      <c r="L497" t="s">
        <v>19</v>
      </c>
      <c r="M497" t="s">
        <v>20</v>
      </c>
      <c r="N497" t="s">
        <v>21</v>
      </c>
      <c r="O497" t="s">
        <v>136</v>
      </c>
      <c r="P497" t="s">
        <v>13</v>
      </c>
      <c r="Q497" t="s">
        <v>14</v>
      </c>
      <c r="R497" t="s">
        <v>335</v>
      </c>
      <c r="S497" t="s">
        <v>8</v>
      </c>
      <c r="T497" t="s">
        <v>339</v>
      </c>
      <c r="U497">
        <f>Sales_Order[[#This Row],[Quantity ordered]]*Sales_Order[[#This Row],[Price each]]</f>
        <v>3000</v>
      </c>
    </row>
    <row r="498" spans="1:21" x14ac:dyDescent="0.3">
      <c r="A498">
        <v>10149</v>
      </c>
      <c r="B498">
        <v>42</v>
      </c>
      <c r="C498">
        <v>94.25</v>
      </c>
      <c r="D498">
        <v>2</v>
      </c>
      <c r="E498" s="1">
        <v>37964</v>
      </c>
      <c r="F498" t="s">
        <v>0</v>
      </c>
      <c r="G498">
        <v>3</v>
      </c>
      <c r="H498">
        <v>2003</v>
      </c>
      <c r="I498" t="s">
        <v>49</v>
      </c>
      <c r="J498" t="s">
        <v>73</v>
      </c>
      <c r="K498" t="s">
        <v>286</v>
      </c>
      <c r="L498" t="s">
        <v>287</v>
      </c>
      <c r="M498" t="s">
        <v>288</v>
      </c>
      <c r="N498" t="s">
        <v>161</v>
      </c>
      <c r="O498" t="s">
        <v>166</v>
      </c>
      <c r="P498" t="s">
        <v>5</v>
      </c>
      <c r="Q498" t="s">
        <v>6</v>
      </c>
      <c r="R498" t="s">
        <v>369</v>
      </c>
      <c r="S498" t="s">
        <v>8</v>
      </c>
      <c r="T498" t="s">
        <v>361</v>
      </c>
      <c r="U498">
        <f>Sales_Order[[#This Row],[Quantity ordered]]*Sales_Order[[#This Row],[Price each]]</f>
        <v>3958.5</v>
      </c>
    </row>
    <row r="499" spans="1:21" x14ac:dyDescent="0.3">
      <c r="A499">
        <v>10163</v>
      </c>
      <c r="B499">
        <v>43</v>
      </c>
      <c r="C499">
        <v>100</v>
      </c>
      <c r="D499">
        <v>6</v>
      </c>
      <c r="E499" s="1">
        <v>37914</v>
      </c>
      <c r="F499" t="s">
        <v>0</v>
      </c>
      <c r="G499">
        <v>4</v>
      </c>
      <c r="H499">
        <v>2003</v>
      </c>
      <c r="I499" t="s">
        <v>49</v>
      </c>
      <c r="J499" t="s">
        <v>73</v>
      </c>
      <c r="K499" t="s">
        <v>24</v>
      </c>
      <c r="L499" t="s">
        <v>25</v>
      </c>
      <c r="M499" t="s">
        <v>3</v>
      </c>
      <c r="N499" t="s">
        <v>4</v>
      </c>
      <c r="O499" t="s">
        <v>135</v>
      </c>
      <c r="P499" t="s">
        <v>5</v>
      </c>
      <c r="Q499" t="s">
        <v>6</v>
      </c>
      <c r="R499" t="s">
        <v>340</v>
      </c>
      <c r="S499" t="s">
        <v>8</v>
      </c>
      <c r="T499" t="s">
        <v>324</v>
      </c>
      <c r="U499">
        <f>Sales_Order[[#This Row],[Quantity ordered]]*Sales_Order[[#This Row],[Price each]]</f>
        <v>4300</v>
      </c>
    </row>
    <row r="500" spans="1:21" x14ac:dyDescent="0.3">
      <c r="A500">
        <v>10182</v>
      </c>
      <c r="B500">
        <v>33</v>
      </c>
      <c r="C500">
        <v>86.31</v>
      </c>
      <c r="D500">
        <v>1</v>
      </c>
      <c r="E500" s="1">
        <v>37966</v>
      </c>
      <c r="F500" t="s">
        <v>0</v>
      </c>
      <c r="G500">
        <v>4</v>
      </c>
      <c r="H500">
        <v>2003</v>
      </c>
      <c r="I500" t="s">
        <v>49</v>
      </c>
      <c r="J500" t="s">
        <v>73</v>
      </c>
      <c r="K500" t="s">
        <v>225</v>
      </c>
      <c r="L500" t="s">
        <v>226</v>
      </c>
      <c r="M500" t="s">
        <v>227</v>
      </c>
      <c r="N500" t="s">
        <v>161</v>
      </c>
      <c r="O500" t="s">
        <v>177</v>
      </c>
      <c r="P500" t="s">
        <v>5</v>
      </c>
      <c r="Q500" t="s">
        <v>6</v>
      </c>
      <c r="R500" t="s">
        <v>349</v>
      </c>
      <c r="S500" t="s">
        <v>7</v>
      </c>
      <c r="T500" t="s">
        <v>334</v>
      </c>
      <c r="U500">
        <f>Sales_Order[[#This Row],[Quantity ordered]]*Sales_Order[[#This Row],[Price each]]</f>
        <v>2848.23</v>
      </c>
    </row>
    <row r="501" spans="1:21" x14ac:dyDescent="0.3">
      <c r="A501">
        <v>10193</v>
      </c>
      <c r="B501">
        <v>32</v>
      </c>
      <c r="C501">
        <v>79.37</v>
      </c>
      <c r="D501">
        <v>5</v>
      </c>
      <c r="E501" s="1">
        <v>37946</v>
      </c>
      <c r="F501" t="s">
        <v>0</v>
      </c>
      <c r="G501">
        <v>4</v>
      </c>
      <c r="H501">
        <v>2003</v>
      </c>
      <c r="I501" t="s">
        <v>49</v>
      </c>
      <c r="J501" t="s">
        <v>73</v>
      </c>
      <c r="K501" t="s">
        <v>296</v>
      </c>
      <c r="L501" t="s">
        <v>297</v>
      </c>
      <c r="M501" t="s">
        <v>298</v>
      </c>
      <c r="N501" t="s">
        <v>12</v>
      </c>
      <c r="O501" t="s">
        <v>299</v>
      </c>
      <c r="P501" t="s">
        <v>13</v>
      </c>
      <c r="Q501" t="s">
        <v>14</v>
      </c>
      <c r="R501" t="s">
        <v>371</v>
      </c>
      <c r="S501" t="s">
        <v>7</v>
      </c>
      <c r="T501" t="s">
        <v>334</v>
      </c>
      <c r="U501">
        <f>Sales_Order[[#This Row],[Quantity ordered]]*Sales_Order[[#This Row],[Price each]]</f>
        <v>2539.84</v>
      </c>
    </row>
    <row r="502" spans="1:21" x14ac:dyDescent="0.3">
      <c r="A502">
        <v>10206</v>
      </c>
      <c r="B502">
        <v>28</v>
      </c>
      <c r="C502">
        <v>87.3</v>
      </c>
      <c r="D502">
        <v>11</v>
      </c>
      <c r="E502" s="1">
        <v>37753</v>
      </c>
      <c r="F502" t="s">
        <v>0</v>
      </c>
      <c r="G502">
        <v>4</v>
      </c>
      <c r="H502">
        <v>2003</v>
      </c>
      <c r="I502" t="s">
        <v>49</v>
      </c>
      <c r="J502" t="s">
        <v>73</v>
      </c>
      <c r="K502" t="s">
        <v>205</v>
      </c>
      <c r="L502" t="s">
        <v>206</v>
      </c>
      <c r="M502" t="s">
        <v>207</v>
      </c>
      <c r="N502" t="s">
        <v>208</v>
      </c>
      <c r="O502" t="s">
        <v>209</v>
      </c>
      <c r="P502" t="s">
        <v>210</v>
      </c>
      <c r="Q502" t="s">
        <v>6</v>
      </c>
      <c r="R502" t="s">
        <v>343</v>
      </c>
      <c r="S502" t="s">
        <v>7</v>
      </c>
      <c r="T502" t="s">
        <v>336</v>
      </c>
      <c r="U502">
        <f>Sales_Order[[#This Row],[Quantity ordered]]*Sales_Order[[#This Row],[Price each]]</f>
        <v>2444.4</v>
      </c>
    </row>
    <row r="503" spans="1:21" x14ac:dyDescent="0.3">
      <c r="A503">
        <v>10215</v>
      </c>
      <c r="B503">
        <v>41</v>
      </c>
      <c r="C503">
        <v>100</v>
      </c>
      <c r="D503">
        <v>8</v>
      </c>
      <c r="E503" s="1">
        <v>38015</v>
      </c>
      <c r="F503" t="s">
        <v>0</v>
      </c>
      <c r="G503">
        <v>1</v>
      </c>
      <c r="H503">
        <v>2004</v>
      </c>
      <c r="I503" t="s">
        <v>49</v>
      </c>
      <c r="J503" t="s">
        <v>73</v>
      </c>
      <c r="K503" t="s">
        <v>211</v>
      </c>
      <c r="L503" t="s">
        <v>212</v>
      </c>
      <c r="M503" t="s">
        <v>213</v>
      </c>
      <c r="N503" t="s">
        <v>161</v>
      </c>
      <c r="O503" t="s">
        <v>172</v>
      </c>
      <c r="P503" t="s">
        <v>5</v>
      </c>
      <c r="Q503" t="s">
        <v>6</v>
      </c>
      <c r="R503" t="s">
        <v>344</v>
      </c>
      <c r="S503" t="s">
        <v>8</v>
      </c>
      <c r="T503" t="s">
        <v>345</v>
      </c>
      <c r="U503">
        <f>Sales_Order[[#This Row],[Quantity ordered]]*Sales_Order[[#This Row],[Price each]]</f>
        <v>4100</v>
      </c>
    </row>
    <row r="504" spans="1:21" x14ac:dyDescent="0.3">
      <c r="A504">
        <v>10257</v>
      </c>
      <c r="B504">
        <v>26</v>
      </c>
      <c r="C504">
        <v>89.29</v>
      </c>
      <c r="D504">
        <v>5</v>
      </c>
      <c r="E504" s="1">
        <v>38152</v>
      </c>
      <c r="F504" t="s">
        <v>0</v>
      </c>
      <c r="G504">
        <v>2</v>
      </c>
      <c r="H504">
        <v>2004</v>
      </c>
      <c r="I504" t="s">
        <v>49</v>
      </c>
      <c r="J504" t="s">
        <v>73</v>
      </c>
      <c r="K504" t="s">
        <v>272</v>
      </c>
      <c r="L504" t="s">
        <v>273</v>
      </c>
      <c r="M504" t="s">
        <v>274</v>
      </c>
      <c r="N504" t="s">
        <v>161</v>
      </c>
      <c r="O504" t="s">
        <v>166</v>
      </c>
      <c r="P504" t="s">
        <v>5</v>
      </c>
      <c r="Q504" t="s">
        <v>6</v>
      </c>
      <c r="R504" t="s">
        <v>363</v>
      </c>
      <c r="S504" t="s">
        <v>7</v>
      </c>
      <c r="T504" t="s">
        <v>331</v>
      </c>
      <c r="U504">
        <f>Sales_Order[[#This Row],[Quantity ordered]]*Sales_Order[[#This Row],[Price each]]</f>
        <v>2321.54</v>
      </c>
    </row>
    <row r="505" spans="1:21" x14ac:dyDescent="0.3">
      <c r="A505">
        <v>10290</v>
      </c>
      <c r="B505">
        <v>26</v>
      </c>
      <c r="C505">
        <v>96.23</v>
      </c>
      <c r="D505">
        <v>2</v>
      </c>
      <c r="E505" s="1">
        <v>38177</v>
      </c>
      <c r="F505" t="s">
        <v>0</v>
      </c>
      <c r="G505">
        <v>3</v>
      </c>
      <c r="H505">
        <v>2004</v>
      </c>
      <c r="I505" t="s">
        <v>49</v>
      </c>
      <c r="J505" t="s">
        <v>73</v>
      </c>
      <c r="K505" t="s">
        <v>305</v>
      </c>
      <c r="L505" t="s">
        <v>306</v>
      </c>
      <c r="M505" t="s">
        <v>235</v>
      </c>
      <c r="N505" t="s">
        <v>181</v>
      </c>
      <c r="O505" t="s">
        <v>236</v>
      </c>
      <c r="P505" t="s">
        <v>5</v>
      </c>
      <c r="Q505" t="s">
        <v>6</v>
      </c>
      <c r="R505" t="s">
        <v>373</v>
      </c>
      <c r="S505" t="s">
        <v>7</v>
      </c>
      <c r="T505" t="s">
        <v>361</v>
      </c>
      <c r="U505">
        <f>Sales_Order[[#This Row],[Quantity ordered]]*Sales_Order[[#This Row],[Price each]]</f>
        <v>2501.98</v>
      </c>
    </row>
    <row r="506" spans="1:21" x14ac:dyDescent="0.3">
      <c r="A506">
        <v>10312</v>
      </c>
      <c r="B506">
        <v>33</v>
      </c>
      <c r="C506">
        <v>100</v>
      </c>
      <c r="D506">
        <v>8</v>
      </c>
      <c r="E506" s="1">
        <v>38281</v>
      </c>
      <c r="F506" t="s">
        <v>0</v>
      </c>
      <c r="G506">
        <v>4</v>
      </c>
      <c r="H506">
        <v>2004</v>
      </c>
      <c r="I506" t="s">
        <v>49</v>
      </c>
      <c r="J506" t="s">
        <v>73</v>
      </c>
      <c r="K506" t="s">
        <v>225</v>
      </c>
      <c r="L506" t="s">
        <v>226</v>
      </c>
      <c r="M506" t="s">
        <v>227</v>
      </c>
      <c r="N506" t="s">
        <v>161</v>
      </c>
      <c r="O506" t="s">
        <v>177</v>
      </c>
      <c r="P506" t="s">
        <v>5</v>
      </c>
      <c r="Q506" t="s">
        <v>6</v>
      </c>
      <c r="R506" t="s">
        <v>349</v>
      </c>
      <c r="S506" t="s">
        <v>8</v>
      </c>
      <c r="T506" t="s">
        <v>324</v>
      </c>
      <c r="U506">
        <f>Sales_Order[[#This Row],[Quantity ordered]]*Sales_Order[[#This Row],[Price each]]</f>
        <v>3300</v>
      </c>
    </row>
    <row r="507" spans="1:21" x14ac:dyDescent="0.3">
      <c r="A507">
        <v>10347</v>
      </c>
      <c r="B507">
        <v>26</v>
      </c>
      <c r="C507">
        <v>100</v>
      </c>
      <c r="D507">
        <v>12</v>
      </c>
      <c r="E507" s="1">
        <v>38320</v>
      </c>
      <c r="F507" t="s">
        <v>0</v>
      </c>
      <c r="G507">
        <v>4</v>
      </c>
      <c r="H507">
        <v>2004</v>
      </c>
      <c r="I507" t="s">
        <v>49</v>
      </c>
      <c r="J507" t="s">
        <v>73</v>
      </c>
      <c r="K507" t="s">
        <v>9</v>
      </c>
      <c r="L507" t="s">
        <v>10</v>
      </c>
      <c r="M507" t="s">
        <v>11</v>
      </c>
      <c r="N507" t="s">
        <v>12</v>
      </c>
      <c r="O507" t="s">
        <v>134</v>
      </c>
      <c r="P507" t="s">
        <v>13</v>
      </c>
      <c r="Q507" t="s">
        <v>14</v>
      </c>
      <c r="R507" t="s">
        <v>325</v>
      </c>
      <c r="S507" t="s">
        <v>7</v>
      </c>
      <c r="T507" t="s">
        <v>334</v>
      </c>
      <c r="U507">
        <f>Sales_Order[[#This Row],[Quantity ordered]]*Sales_Order[[#This Row],[Price each]]</f>
        <v>2600</v>
      </c>
    </row>
    <row r="508" spans="1:21" x14ac:dyDescent="0.3">
      <c r="A508">
        <v>10357</v>
      </c>
      <c r="B508">
        <v>25</v>
      </c>
      <c r="C508">
        <v>100</v>
      </c>
      <c r="D508">
        <v>3</v>
      </c>
      <c r="E508" s="1">
        <v>38272</v>
      </c>
      <c r="F508" t="s">
        <v>0</v>
      </c>
      <c r="G508">
        <v>4</v>
      </c>
      <c r="H508">
        <v>2004</v>
      </c>
      <c r="I508" t="s">
        <v>49</v>
      </c>
      <c r="J508" t="s">
        <v>73</v>
      </c>
      <c r="K508" t="s">
        <v>225</v>
      </c>
      <c r="L508" t="s">
        <v>226</v>
      </c>
      <c r="M508" t="s">
        <v>227</v>
      </c>
      <c r="N508" t="s">
        <v>161</v>
      </c>
      <c r="O508" t="s">
        <v>177</v>
      </c>
      <c r="P508" t="s">
        <v>5</v>
      </c>
      <c r="Q508" t="s">
        <v>6</v>
      </c>
      <c r="R508" t="s">
        <v>349</v>
      </c>
      <c r="S508" t="s">
        <v>7</v>
      </c>
      <c r="T508" t="s">
        <v>336</v>
      </c>
      <c r="U508">
        <f>Sales_Order[[#This Row],[Quantity ordered]]*Sales_Order[[#This Row],[Price each]]</f>
        <v>2500</v>
      </c>
    </row>
    <row r="509" spans="1:21" x14ac:dyDescent="0.3">
      <c r="A509">
        <v>10369</v>
      </c>
      <c r="B509">
        <v>45</v>
      </c>
      <c r="C509">
        <v>73.08</v>
      </c>
      <c r="D509">
        <v>4</v>
      </c>
      <c r="E509" s="1">
        <v>38372</v>
      </c>
      <c r="F509" t="s">
        <v>0</v>
      </c>
      <c r="G509">
        <v>1</v>
      </c>
      <c r="H509">
        <v>2005</v>
      </c>
      <c r="I509" t="s">
        <v>49</v>
      </c>
      <c r="J509" t="s">
        <v>73</v>
      </c>
      <c r="K509" t="s">
        <v>233</v>
      </c>
      <c r="L509" t="s">
        <v>234</v>
      </c>
      <c r="M509" t="s">
        <v>235</v>
      </c>
      <c r="N509" t="s">
        <v>181</v>
      </c>
      <c r="O509" t="s">
        <v>236</v>
      </c>
      <c r="P509" t="s">
        <v>5</v>
      </c>
      <c r="Q509" t="s">
        <v>6</v>
      </c>
      <c r="R509" t="s">
        <v>351</v>
      </c>
      <c r="S509" t="s">
        <v>8</v>
      </c>
      <c r="T509" t="s">
        <v>345</v>
      </c>
      <c r="U509">
        <f>Sales_Order[[#This Row],[Quantity ordered]]*Sales_Order[[#This Row],[Price each]]</f>
        <v>3288.6</v>
      </c>
    </row>
    <row r="510" spans="1:21" x14ac:dyDescent="0.3">
      <c r="A510">
        <v>10382</v>
      </c>
      <c r="B510">
        <v>50</v>
      </c>
      <c r="C510">
        <v>100</v>
      </c>
      <c r="D510">
        <v>7</v>
      </c>
      <c r="E510" s="1">
        <v>38400</v>
      </c>
      <c r="F510" t="s">
        <v>0</v>
      </c>
      <c r="G510">
        <v>1</v>
      </c>
      <c r="H510">
        <v>2005</v>
      </c>
      <c r="I510" t="s">
        <v>49</v>
      </c>
      <c r="J510" t="s">
        <v>73</v>
      </c>
      <c r="K510" t="s">
        <v>225</v>
      </c>
      <c r="L510" t="s">
        <v>226</v>
      </c>
      <c r="M510" t="s">
        <v>227</v>
      </c>
      <c r="N510" t="s">
        <v>161</v>
      </c>
      <c r="O510" t="s">
        <v>177</v>
      </c>
      <c r="P510" t="s">
        <v>5</v>
      </c>
      <c r="Q510" t="s">
        <v>6</v>
      </c>
      <c r="R510" t="s">
        <v>349</v>
      </c>
      <c r="S510" t="s">
        <v>17</v>
      </c>
      <c r="T510" t="s">
        <v>320</v>
      </c>
      <c r="U510">
        <f>Sales_Order[[#This Row],[Quantity ordered]]*Sales_Order[[#This Row],[Price each]]</f>
        <v>5000</v>
      </c>
    </row>
    <row r="511" spans="1:21" x14ac:dyDescent="0.3">
      <c r="A511">
        <v>10135</v>
      </c>
      <c r="B511">
        <v>42</v>
      </c>
      <c r="C511">
        <v>100</v>
      </c>
      <c r="D511">
        <v>9</v>
      </c>
      <c r="E511" s="1">
        <v>37659</v>
      </c>
      <c r="F511" t="s">
        <v>0</v>
      </c>
      <c r="G511">
        <v>3</v>
      </c>
      <c r="H511">
        <v>2003</v>
      </c>
      <c r="I511" t="s">
        <v>22</v>
      </c>
      <c r="J511" t="s">
        <v>74</v>
      </c>
      <c r="K511" t="s">
        <v>225</v>
      </c>
      <c r="L511" t="s">
        <v>226</v>
      </c>
      <c r="M511" t="s">
        <v>227</v>
      </c>
      <c r="N511" t="s">
        <v>161</v>
      </c>
      <c r="O511" t="s">
        <v>177</v>
      </c>
      <c r="P511" t="s">
        <v>5</v>
      </c>
      <c r="Q511" t="s">
        <v>6</v>
      </c>
      <c r="R511" t="s">
        <v>349</v>
      </c>
      <c r="S511" t="s">
        <v>8</v>
      </c>
      <c r="T511" t="s">
        <v>339</v>
      </c>
      <c r="U511">
        <f>Sales_Order[[#This Row],[Quantity ordered]]*Sales_Order[[#This Row],[Price each]]</f>
        <v>4200</v>
      </c>
    </row>
    <row r="512" spans="1:21" x14ac:dyDescent="0.3">
      <c r="A512">
        <v>10147</v>
      </c>
      <c r="B512">
        <v>37</v>
      </c>
      <c r="C512">
        <v>100</v>
      </c>
      <c r="D512">
        <v>9</v>
      </c>
      <c r="E512" s="1">
        <v>37750</v>
      </c>
      <c r="F512" t="s">
        <v>0</v>
      </c>
      <c r="G512">
        <v>3</v>
      </c>
      <c r="H512">
        <v>2003</v>
      </c>
      <c r="I512" t="s">
        <v>22</v>
      </c>
      <c r="J512" t="s">
        <v>74</v>
      </c>
      <c r="K512" t="s">
        <v>233</v>
      </c>
      <c r="L512" t="s">
        <v>234</v>
      </c>
      <c r="M512" t="s">
        <v>235</v>
      </c>
      <c r="N512" t="s">
        <v>181</v>
      </c>
      <c r="O512" t="s">
        <v>236</v>
      </c>
      <c r="P512" t="s">
        <v>5</v>
      </c>
      <c r="Q512" t="s">
        <v>6</v>
      </c>
      <c r="R512" t="s">
        <v>351</v>
      </c>
      <c r="S512" t="s">
        <v>8</v>
      </c>
      <c r="T512" t="s">
        <v>361</v>
      </c>
      <c r="U512">
        <f>Sales_Order[[#This Row],[Quantity ordered]]*Sales_Order[[#This Row],[Price each]]</f>
        <v>3700</v>
      </c>
    </row>
    <row r="513" spans="1:21" x14ac:dyDescent="0.3">
      <c r="A513">
        <v>10169</v>
      </c>
      <c r="B513">
        <v>36</v>
      </c>
      <c r="C513">
        <v>100</v>
      </c>
      <c r="D513">
        <v>4</v>
      </c>
      <c r="E513" s="1">
        <v>37722</v>
      </c>
      <c r="F513" t="s">
        <v>0</v>
      </c>
      <c r="G513">
        <v>4</v>
      </c>
      <c r="H513">
        <v>2003</v>
      </c>
      <c r="I513" t="s">
        <v>22</v>
      </c>
      <c r="J513" t="s">
        <v>74</v>
      </c>
      <c r="K513" t="s">
        <v>26</v>
      </c>
      <c r="L513" t="s">
        <v>27</v>
      </c>
      <c r="M513" t="s">
        <v>28</v>
      </c>
      <c r="N513" t="s">
        <v>21</v>
      </c>
      <c r="O513" t="s">
        <v>137</v>
      </c>
      <c r="P513" t="s">
        <v>13</v>
      </c>
      <c r="Q513" t="s">
        <v>14</v>
      </c>
      <c r="R513" t="s">
        <v>352</v>
      </c>
      <c r="S513" t="s">
        <v>8</v>
      </c>
      <c r="T513" t="s">
        <v>334</v>
      </c>
      <c r="U513">
        <f>Sales_Order[[#This Row],[Quantity ordered]]*Sales_Order[[#This Row],[Price each]]</f>
        <v>3600</v>
      </c>
    </row>
    <row r="514" spans="1:21" x14ac:dyDescent="0.3">
      <c r="A514">
        <v>10265</v>
      </c>
      <c r="B514">
        <v>49</v>
      </c>
      <c r="C514">
        <v>100</v>
      </c>
      <c r="D514">
        <v>1</v>
      </c>
      <c r="E514" s="1">
        <v>38024</v>
      </c>
      <c r="F514" t="s">
        <v>0</v>
      </c>
      <c r="G514">
        <v>3</v>
      </c>
      <c r="H514">
        <v>2004</v>
      </c>
      <c r="I514" t="s">
        <v>22</v>
      </c>
      <c r="J514" t="s">
        <v>74</v>
      </c>
      <c r="K514" t="s">
        <v>296</v>
      </c>
      <c r="L514" t="s">
        <v>297</v>
      </c>
      <c r="M514" t="s">
        <v>298</v>
      </c>
      <c r="N514" t="s">
        <v>12</v>
      </c>
      <c r="O514" t="s">
        <v>299</v>
      </c>
      <c r="P514" t="s">
        <v>13</v>
      </c>
      <c r="Q514" t="s">
        <v>14</v>
      </c>
      <c r="R514" t="s">
        <v>371</v>
      </c>
      <c r="S514" t="s">
        <v>17</v>
      </c>
      <c r="T514" t="s">
        <v>339</v>
      </c>
      <c r="U514">
        <f>Sales_Order[[#This Row],[Quantity ordered]]*Sales_Order[[#This Row],[Price each]]</f>
        <v>4900</v>
      </c>
    </row>
    <row r="515" spans="1:21" x14ac:dyDescent="0.3">
      <c r="A515">
        <v>10276</v>
      </c>
      <c r="B515">
        <v>30</v>
      </c>
      <c r="C515">
        <v>100</v>
      </c>
      <c r="D515">
        <v>5</v>
      </c>
      <c r="E515" s="1">
        <v>38025</v>
      </c>
      <c r="F515" t="s">
        <v>0</v>
      </c>
      <c r="G515">
        <v>3</v>
      </c>
      <c r="H515">
        <v>2004</v>
      </c>
      <c r="I515" t="s">
        <v>22</v>
      </c>
      <c r="J515" t="s">
        <v>74</v>
      </c>
      <c r="K515" t="s">
        <v>279</v>
      </c>
      <c r="L515" t="s">
        <v>280</v>
      </c>
      <c r="M515" t="s">
        <v>235</v>
      </c>
      <c r="N515" t="s">
        <v>181</v>
      </c>
      <c r="O515" t="s">
        <v>236</v>
      </c>
      <c r="P515" t="s">
        <v>5</v>
      </c>
      <c r="Q515" t="s">
        <v>6</v>
      </c>
      <c r="R515" t="s">
        <v>365</v>
      </c>
      <c r="S515" t="s">
        <v>8</v>
      </c>
      <c r="T515" t="s">
        <v>322</v>
      </c>
      <c r="U515">
        <f>Sales_Order[[#This Row],[Quantity ordered]]*Sales_Order[[#This Row],[Price each]]</f>
        <v>3000</v>
      </c>
    </row>
    <row r="516" spans="1:21" x14ac:dyDescent="0.3">
      <c r="A516">
        <v>10342</v>
      </c>
      <c r="B516">
        <v>55</v>
      </c>
      <c r="C516">
        <v>100</v>
      </c>
      <c r="D516">
        <v>7</v>
      </c>
      <c r="E516" s="1">
        <v>38315</v>
      </c>
      <c r="F516" t="s">
        <v>0</v>
      </c>
      <c r="G516">
        <v>4</v>
      </c>
      <c r="H516">
        <v>2004</v>
      </c>
      <c r="I516" t="s">
        <v>22</v>
      </c>
      <c r="J516" t="s">
        <v>74</v>
      </c>
      <c r="K516" t="s">
        <v>9</v>
      </c>
      <c r="L516" t="s">
        <v>10</v>
      </c>
      <c r="M516" t="s">
        <v>11</v>
      </c>
      <c r="N516" t="s">
        <v>12</v>
      </c>
      <c r="O516" t="s">
        <v>134</v>
      </c>
      <c r="P516" t="s">
        <v>13</v>
      </c>
      <c r="Q516" t="s">
        <v>14</v>
      </c>
      <c r="R516" t="s">
        <v>325</v>
      </c>
      <c r="S516" t="s">
        <v>8</v>
      </c>
      <c r="T516" t="s">
        <v>334</v>
      </c>
      <c r="U516">
        <f>Sales_Order[[#This Row],[Quantity ordered]]*Sales_Order[[#This Row],[Price each]]</f>
        <v>5500</v>
      </c>
    </row>
    <row r="517" spans="1:21" x14ac:dyDescent="0.3">
      <c r="A517">
        <v>10390</v>
      </c>
      <c r="B517">
        <v>50</v>
      </c>
      <c r="C517">
        <v>100</v>
      </c>
      <c r="D517">
        <v>1</v>
      </c>
      <c r="E517" s="1">
        <v>38445</v>
      </c>
      <c r="F517" t="s">
        <v>0</v>
      </c>
      <c r="G517">
        <v>1</v>
      </c>
      <c r="H517">
        <v>2005</v>
      </c>
      <c r="I517" t="s">
        <v>22</v>
      </c>
      <c r="J517" t="s">
        <v>74</v>
      </c>
      <c r="K517" t="s">
        <v>225</v>
      </c>
      <c r="L517" t="s">
        <v>226</v>
      </c>
      <c r="M517" t="s">
        <v>227</v>
      </c>
      <c r="N517" t="s">
        <v>161</v>
      </c>
      <c r="O517" t="s">
        <v>177</v>
      </c>
      <c r="P517" t="s">
        <v>5</v>
      </c>
      <c r="Q517" t="s">
        <v>6</v>
      </c>
      <c r="R517" t="s">
        <v>349</v>
      </c>
      <c r="S517" t="s">
        <v>17</v>
      </c>
      <c r="T517" t="s">
        <v>338</v>
      </c>
      <c r="U517">
        <f>Sales_Order[[#This Row],[Quantity ordered]]*Sales_Order[[#This Row],[Price each]]</f>
        <v>5000</v>
      </c>
    </row>
    <row r="518" spans="1:21" x14ac:dyDescent="0.3">
      <c r="A518">
        <v>10109</v>
      </c>
      <c r="B518">
        <v>47</v>
      </c>
      <c r="C518">
        <v>100</v>
      </c>
      <c r="D518">
        <v>2</v>
      </c>
      <c r="E518" s="1">
        <v>37897</v>
      </c>
      <c r="F518" t="s">
        <v>0</v>
      </c>
      <c r="G518">
        <v>1</v>
      </c>
      <c r="H518">
        <v>2003</v>
      </c>
      <c r="I518" t="s">
        <v>22</v>
      </c>
      <c r="J518" t="s">
        <v>75</v>
      </c>
      <c r="K518" t="s">
        <v>246</v>
      </c>
      <c r="L518" t="s">
        <v>247</v>
      </c>
      <c r="M518" t="s">
        <v>203</v>
      </c>
      <c r="N518" t="s">
        <v>186</v>
      </c>
      <c r="O518" t="s">
        <v>204</v>
      </c>
      <c r="P518" t="s">
        <v>5</v>
      </c>
      <c r="Q518" t="s">
        <v>6</v>
      </c>
      <c r="R518" t="s">
        <v>355</v>
      </c>
      <c r="S518" t="s">
        <v>8</v>
      </c>
      <c r="T518" t="s">
        <v>338</v>
      </c>
      <c r="U518">
        <f>Sales_Order[[#This Row],[Quantity ordered]]*Sales_Order[[#This Row],[Price each]]</f>
        <v>4700</v>
      </c>
    </row>
    <row r="519" spans="1:21" x14ac:dyDescent="0.3">
      <c r="A519">
        <v>10148</v>
      </c>
      <c r="B519">
        <v>28</v>
      </c>
      <c r="C519">
        <v>100</v>
      </c>
      <c r="D519">
        <v>11</v>
      </c>
      <c r="E519" s="1">
        <v>37934</v>
      </c>
      <c r="F519" t="s">
        <v>0</v>
      </c>
      <c r="G519">
        <v>3</v>
      </c>
      <c r="H519">
        <v>2003</v>
      </c>
      <c r="I519" t="s">
        <v>22</v>
      </c>
      <c r="J519" t="s">
        <v>75</v>
      </c>
      <c r="K519" t="s">
        <v>26</v>
      </c>
      <c r="L519" t="s">
        <v>27</v>
      </c>
      <c r="M519" t="s">
        <v>28</v>
      </c>
      <c r="N519" t="s">
        <v>21</v>
      </c>
      <c r="O519" t="s">
        <v>137</v>
      </c>
      <c r="P519" t="s">
        <v>13</v>
      </c>
      <c r="Q519" t="s">
        <v>14</v>
      </c>
      <c r="R519" t="s">
        <v>352</v>
      </c>
      <c r="S519" t="s">
        <v>8</v>
      </c>
      <c r="T519" t="s">
        <v>361</v>
      </c>
      <c r="U519">
        <f>Sales_Order[[#This Row],[Quantity ordered]]*Sales_Order[[#This Row],[Price each]]</f>
        <v>2800</v>
      </c>
    </row>
    <row r="520" spans="1:21" x14ac:dyDescent="0.3">
      <c r="A520">
        <v>10172</v>
      </c>
      <c r="B520">
        <v>48</v>
      </c>
      <c r="C520">
        <v>100</v>
      </c>
      <c r="D520">
        <v>8</v>
      </c>
      <c r="E520" s="1">
        <v>37752</v>
      </c>
      <c r="F520" t="s">
        <v>0</v>
      </c>
      <c r="G520">
        <v>4</v>
      </c>
      <c r="H520">
        <v>2003</v>
      </c>
      <c r="I520" t="s">
        <v>22</v>
      </c>
      <c r="J520" t="s">
        <v>75</v>
      </c>
      <c r="K520" t="s">
        <v>173</v>
      </c>
      <c r="L520" t="s">
        <v>174</v>
      </c>
      <c r="M520" t="s">
        <v>175</v>
      </c>
      <c r="N520" t="s">
        <v>176</v>
      </c>
      <c r="O520" t="s">
        <v>177</v>
      </c>
      <c r="P520" t="s">
        <v>5</v>
      </c>
      <c r="Q520" t="s">
        <v>6</v>
      </c>
      <c r="R520" t="s">
        <v>330</v>
      </c>
      <c r="S520" t="s">
        <v>8</v>
      </c>
      <c r="T520" t="s">
        <v>334</v>
      </c>
      <c r="U520">
        <f>Sales_Order[[#This Row],[Quantity ordered]]*Sales_Order[[#This Row],[Price each]]</f>
        <v>4800</v>
      </c>
    </row>
    <row r="521" spans="1:21" x14ac:dyDescent="0.3">
      <c r="A521">
        <v>10192</v>
      </c>
      <c r="B521">
        <v>45</v>
      </c>
      <c r="C521">
        <v>100</v>
      </c>
      <c r="D521">
        <v>9</v>
      </c>
      <c r="E521" s="1">
        <v>37945</v>
      </c>
      <c r="F521" t="s">
        <v>0</v>
      </c>
      <c r="G521">
        <v>4</v>
      </c>
      <c r="H521">
        <v>2003</v>
      </c>
      <c r="I521" t="s">
        <v>22</v>
      </c>
      <c r="J521" t="s">
        <v>75</v>
      </c>
      <c r="K521" t="s">
        <v>228</v>
      </c>
      <c r="L521" t="s">
        <v>229</v>
      </c>
      <c r="M521" t="s">
        <v>230</v>
      </c>
      <c r="N521" t="s">
        <v>231</v>
      </c>
      <c r="O521" t="s">
        <v>232</v>
      </c>
      <c r="P521" t="s">
        <v>5</v>
      </c>
      <c r="Q521" t="s">
        <v>6</v>
      </c>
      <c r="R521" t="s">
        <v>350</v>
      </c>
      <c r="S521" t="s">
        <v>8</v>
      </c>
      <c r="T521" t="s">
        <v>334</v>
      </c>
      <c r="U521">
        <f>Sales_Order[[#This Row],[Quantity ordered]]*Sales_Order[[#This Row],[Price each]]</f>
        <v>4500</v>
      </c>
    </row>
    <row r="522" spans="1:21" x14ac:dyDescent="0.3">
      <c r="A522">
        <v>10204</v>
      </c>
      <c r="B522">
        <v>35</v>
      </c>
      <c r="C522">
        <v>100</v>
      </c>
      <c r="D522">
        <v>15</v>
      </c>
      <c r="E522" s="1">
        <v>37664</v>
      </c>
      <c r="F522" t="s">
        <v>0</v>
      </c>
      <c r="G522">
        <v>4</v>
      </c>
      <c r="H522">
        <v>2003</v>
      </c>
      <c r="I522" t="s">
        <v>22</v>
      </c>
      <c r="J522" t="s">
        <v>75</v>
      </c>
      <c r="K522" t="s">
        <v>36</v>
      </c>
      <c r="L522" t="s">
        <v>37</v>
      </c>
      <c r="M522" t="s">
        <v>3</v>
      </c>
      <c r="N522" t="s">
        <v>4</v>
      </c>
      <c r="O522" t="s">
        <v>135</v>
      </c>
      <c r="P522" t="s">
        <v>5</v>
      </c>
      <c r="Q522" t="s">
        <v>6</v>
      </c>
      <c r="R522" t="s">
        <v>366</v>
      </c>
      <c r="S522" t="s">
        <v>8</v>
      </c>
      <c r="T522" t="s">
        <v>336</v>
      </c>
      <c r="U522">
        <f>Sales_Order[[#This Row],[Quantity ordered]]*Sales_Order[[#This Row],[Price each]]</f>
        <v>3500</v>
      </c>
    </row>
    <row r="523" spans="1:21" x14ac:dyDescent="0.3">
      <c r="A523">
        <v>10226</v>
      </c>
      <c r="B523">
        <v>46</v>
      </c>
      <c r="C523">
        <v>100</v>
      </c>
      <c r="D523">
        <v>6</v>
      </c>
      <c r="E523" s="1">
        <v>38043</v>
      </c>
      <c r="F523" t="s">
        <v>0</v>
      </c>
      <c r="G523">
        <v>1</v>
      </c>
      <c r="H523">
        <v>2004</v>
      </c>
      <c r="I523" t="s">
        <v>22</v>
      </c>
      <c r="J523" t="s">
        <v>75</v>
      </c>
      <c r="K523" t="s">
        <v>255</v>
      </c>
      <c r="L523" t="s">
        <v>256</v>
      </c>
      <c r="M523" t="s">
        <v>257</v>
      </c>
      <c r="N523" t="s">
        <v>161</v>
      </c>
      <c r="O523" t="s">
        <v>258</v>
      </c>
      <c r="P523" t="s">
        <v>5</v>
      </c>
      <c r="Q523" t="s">
        <v>6</v>
      </c>
      <c r="R523" t="s">
        <v>358</v>
      </c>
      <c r="S523" t="s">
        <v>17</v>
      </c>
      <c r="T523" t="s">
        <v>320</v>
      </c>
      <c r="U523">
        <f>Sales_Order[[#This Row],[Quantity ordered]]*Sales_Order[[#This Row],[Price each]]</f>
        <v>4600</v>
      </c>
    </row>
    <row r="524" spans="1:21" x14ac:dyDescent="0.3">
      <c r="A524">
        <v>10240</v>
      </c>
      <c r="B524">
        <v>37</v>
      </c>
      <c r="C524">
        <v>100</v>
      </c>
      <c r="D524">
        <v>1</v>
      </c>
      <c r="E524" s="1">
        <v>38090</v>
      </c>
      <c r="F524" t="s">
        <v>0</v>
      </c>
      <c r="G524">
        <v>2</v>
      </c>
      <c r="H524">
        <v>2004</v>
      </c>
      <c r="I524" t="s">
        <v>22</v>
      </c>
      <c r="J524" t="s">
        <v>75</v>
      </c>
      <c r="K524" t="s">
        <v>242</v>
      </c>
      <c r="L524" t="s">
        <v>243</v>
      </c>
      <c r="M524" t="s">
        <v>244</v>
      </c>
      <c r="N524" t="s">
        <v>244</v>
      </c>
      <c r="O524" t="s">
        <v>245</v>
      </c>
      <c r="P524" t="s">
        <v>195</v>
      </c>
      <c r="Q524" t="s">
        <v>195</v>
      </c>
      <c r="R524" t="s">
        <v>354</v>
      </c>
      <c r="S524" t="s">
        <v>8</v>
      </c>
      <c r="T524" t="s">
        <v>327</v>
      </c>
      <c r="U524">
        <f>Sales_Order[[#This Row],[Quantity ordered]]*Sales_Order[[#This Row],[Price each]]</f>
        <v>3700</v>
      </c>
    </row>
    <row r="525" spans="1:21" x14ac:dyDescent="0.3">
      <c r="A525">
        <v>10278</v>
      </c>
      <c r="B525">
        <v>31</v>
      </c>
      <c r="C525">
        <v>100</v>
      </c>
      <c r="D525">
        <v>4</v>
      </c>
      <c r="E525" s="1">
        <v>38146</v>
      </c>
      <c r="F525" t="s">
        <v>0</v>
      </c>
      <c r="G525">
        <v>3</v>
      </c>
      <c r="H525">
        <v>2004</v>
      </c>
      <c r="I525" t="s">
        <v>22</v>
      </c>
      <c r="J525" t="s">
        <v>75</v>
      </c>
      <c r="K525" t="s">
        <v>290</v>
      </c>
      <c r="L525" t="s">
        <v>291</v>
      </c>
      <c r="M525" t="s">
        <v>292</v>
      </c>
      <c r="N525" t="s">
        <v>293</v>
      </c>
      <c r="O525" t="s">
        <v>294</v>
      </c>
      <c r="P525" t="s">
        <v>5</v>
      </c>
      <c r="Q525" t="s">
        <v>6</v>
      </c>
      <c r="R525" t="s">
        <v>370</v>
      </c>
      <c r="S525" t="s">
        <v>8</v>
      </c>
      <c r="T525" t="s">
        <v>322</v>
      </c>
      <c r="U525">
        <f>Sales_Order[[#This Row],[Quantity ordered]]*Sales_Order[[#This Row],[Price each]]</f>
        <v>3100</v>
      </c>
    </row>
    <row r="526" spans="1:21" x14ac:dyDescent="0.3">
      <c r="A526">
        <v>10321</v>
      </c>
      <c r="B526">
        <v>28</v>
      </c>
      <c r="C526">
        <v>100</v>
      </c>
      <c r="D526">
        <v>8</v>
      </c>
      <c r="E526" s="1">
        <v>38088</v>
      </c>
      <c r="F526" t="s">
        <v>0</v>
      </c>
      <c r="G526">
        <v>4</v>
      </c>
      <c r="H526">
        <v>2004</v>
      </c>
      <c r="I526" t="s">
        <v>22</v>
      </c>
      <c r="J526" t="s">
        <v>75</v>
      </c>
      <c r="K526" t="s">
        <v>189</v>
      </c>
      <c r="L526" t="s">
        <v>190</v>
      </c>
      <c r="M526" t="s">
        <v>191</v>
      </c>
      <c r="N526" t="s">
        <v>181</v>
      </c>
      <c r="O526" t="s">
        <v>192</v>
      </c>
      <c r="P526" t="s">
        <v>5</v>
      </c>
      <c r="Q526" t="s">
        <v>6</v>
      </c>
      <c r="R526" t="s">
        <v>337</v>
      </c>
      <c r="S526" t="s">
        <v>8</v>
      </c>
      <c r="T526" t="s">
        <v>334</v>
      </c>
      <c r="U526">
        <f>Sales_Order[[#This Row],[Quantity ordered]]*Sales_Order[[#This Row],[Price each]]</f>
        <v>2800</v>
      </c>
    </row>
    <row r="527" spans="1:21" x14ac:dyDescent="0.3">
      <c r="A527">
        <v>10331</v>
      </c>
      <c r="B527">
        <v>26</v>
      </c>
      <c r="C527">
        <v>67.91</v>
      </c>
      <c r="D527">
        <v>12</v>
      </c>
      <c r="E527" s="1">
        <v>38308</v>
      </c>
      <c r="F527" t="s">
        <v>0</v>
      </c>
      <c r="G527">
        <v>4</v>
      </c>
      <c r="H527">
        <v>2004</v>
      </c>
      <c r="I527" t="s">
        <v>22</v>
      </c>
      <c r="J527" t="s">
        <v>75</v>
      </c>
      <c r="K527" t="s">
        <v>246</v>
      </c>
      <c r="L527" t="s">
        <v>247</v>
      </c>
      <c r="M527" t="s">
        <v>203</v>
      </c>
      <c r="N527" t="s">
        <v>186</v>
      </c>
      <c r="O527" t="s">
        <v>204</v>
      </c>
      <c r="P527" t="s">
        <v>5</v>
      </c>
      <c r="Q527" t="s">
        <v>6</v>
      </c>
      <c r="R527" t="s">
        <v>355</v>
      </c>
      <c r="S527" t="s">
        <v>7</v>
      </c>
      <c r="T527" t="s">
        <v>334</v>
      </c>
      <c r="U527">
        <f>Sales_Order[[#This Row],[Quantity ordered]]*Sales_Order[[#This Row],[Price each]]</f>
        <v>1765.6599999999999</v>
      </c>
    </row>
    <row r="528" spans="1:21" x14ac:dyDescent="0.3">
      <c r="A528">
        <v>10367</v>
      </c>
      <c r="B528">
        <v>46</v>
      </c>
      <c r="C528">
        <v>100</v>
      </c>
      <c r="D528">
        <v>6</v>
      </c>
      <c r="E528" s="1">
        <v>38687</v>
      </c>
      <c r="F528" t="s">
        <v>276</v>
      </c>
      <c r="G528">
        <v>1</v>
      </c>
      <c r="H528">
        <v>2005</v>
      </c>
      <c r="I528" t="s">
        <v>22</v>
      </c>
      <c r="J528" t="s">
        <v>75</v>
      </c>
      <c r="K528" t="s">
        <v>158</v>
      </c>
      <c r="L528" t="s">
        <v>159</v>
      </c>
      <c r="M528" t="s">
        <v>160</v>
      </c>
      <c r="N528" t="s">
        <v>161</v>
      </c>
      <c r="O528" t="s">
        <v>162</v>
      </c>
      <c r="P528" t="s">
        <v>5</v>
      </c>
      <c r="Q528" t="s">
        <v>6</v>
      </c>
      <c r="R528" t="s">
        <v>321</v>
      </c>
      <c r="S528" t="s">
        <v>8</v>
      </c>
      <c r="T528" t="s">
        <v>345</v>
      </c>
      <c r="U528">
        <f>Sales_Order[[#This Row],[Quantity ordered]]*Sales_Order[[#This Row],[Price each]]</f>
        <v>4600</v>
      </c>
    </row>
    <row r="529" spans="1:21" x14ac:dyDescent="0.3">
      <c r="A529">
        <v>10135</v>
      </c>
      <c r="B529">
        <v>45</v>
      </c>
      <c r="C529">
        <v>50.36</v>
      </c>
      <c r="D529">
        <v>13</v>
      </c>
      <c r="E529" s="1">
        <v>37659</v>
      </c>
      <c r="F529" t="s">
        <v>0</v>
      </c>
      <c r="G529">
        <v>3</v>
      </c>
      <c r="H529">
        <v>2003</v>
      </c>
      <c r="I529" t="s">
        <v>1</v>
      </c>
      <c r="J529" t="s">
        <v>76</v>
      </c>
      <c r="K529" t="s">
        <v>225</v>
      </c>
      <c r="L529" t="s">
        <v>226</v>
      </c>
      <c r="M529" t="s">
        <v>227</v>
      </c>
      <c r="N529" t="s">
        <v>161</v>
      </c>
      <c r="O529" t="s">
        <v>177</v>
      </c>
      <c r="P529" t="s">
        <v>5</v>
      </c>
      <c r="Q529" t="s">
        <v>6</v>
      </c>
      <c r="R529" t="s">
        <v>349</v>
      </c>
      <c r="S529" t="s">
        <v>7</v>
      </c>
      <c r="T529" t="s">
        <v>339</v>
      </c>
      <c r="U529">
        <f>Sales_Order[[#This Row],[Quantity ordered]]*Sales_Order[[#This Row],[Price each]]</f>
        <v>2266.1999999999998</v>
      </c>
    </row>
    <row r="530" spans="1:21" x14ac:dyDescent="0.3">
      <c r="A530">
        <v>10146</v>
      </c>
      <c r="B530">
        <v>47</v>
      </c>
      <c r="C530">
        <v>67.14</v>
      </c>
      <c r="D530">
        <v>2</v>
      </c>
      <c r="E530" s="1">
        <v>37689</v>
      </c>
      <c r="F530" t="s">
        <v>0</v>
      </c>
      <c r="G530">
        <v>3</v>
      </c>
      <c r="H530">
        <v>2003</v>
      </c>
      <c r="I530" t="s">
        <v>1</v>
      </c>
      <c r="J530" t="s">
        <v>76</v>
      </c>
      <c r="K530" t="s">
        <v>301</v>
      </c>
      <c r="L530" t="s">
        <v>302</v>
      </c>
      <c r="M530" t="s">
        <v>284</v>
      </c>
      <c r="N530" t="s">
        <v>176</v>
      </c>
      <c r="O530" t="s">
        <v>303</v>
      </c>
      <c r="P530" t="s">
        <v>5</v>
      </c>
      <c r="Q530" t="s">
        <v>6</v>
      </c>
      <c r="R530" t="s">
        <v>372</v>
      </c>
      <c r="S530" t="s">
        <v>8</v>
      </c>
      <c r="T530" t="s">
        <v>361</v>
      </c>
      <c r="U530">
        <f>Sales_Order[[#This Row],[Quantity ordered]]*Sales_Order[[#This Row],[Price each]]</f>
        <v>3155.58</v>
      </c>
    </row>
    <row r="531" spans="1:21" x14ac:dyDescent="0.3">
      <c r="A531">
        <v>10169</v>
      </c>
      <c r="B531">
        <v>38</v>
      </c>
      <c r="C531">
        <v>68.39</v>
      </c>
      <c r="D531">
        <v>8</v>
      </c>
      <c r="E531" s="1">
        <v>37722</v>
      </c>
      <c r="F531" t="s">
        <v>0</v>
      </c>
      <c r="G531">
        <v>4</v>
      </c>
      <c r="H531">
        <v>2003</v>
      </c>
      <c r="I531" t="s">
        <v>1</v>
      </c>
      <c r="J531" t="s">
        <v>76</v>
      </c>
      <c r="K531" t="s">
        <v>26</v>
      </c>
      <c r="L531" t="s">
        <v>27</v>
      </c>
      <c r="M531" t="s">
        <v>28</v>
      </c>
      <c r="N531" t="s">
        <v>21</v>
      </c>
      <c r="O531" t="s">
        <v>137</v>
      </c>
      <c r="P531" t="s">
        <v>13</v>
      </c>
      <c r="Q531" t="s">
        <v>14</v>
      </c>
      <c r="R531" t="s">
        <v>352</v>
      </c>
      <c r="S531" t="s">
        <v>7</v>
      </c>
      <c r="T531" t="s">
        <v>334</v>
      </c>
      <c r="U531">
        <f>Sales_Order[[#This Row],[Quantity ordered]]*Sales_Order[[#This Row],[Price each]]</f>
        <v>2598.8200000000002</v>
      </c>
    </row>
    <row r="532" spans="1:21" x14ac:dyDescent="0.3">
      <c r="A532">
        <v>10237</v>
      </c>
      <c r="B532">
        <v>26</v>
      </c>
      <c r="C532">
        <v>52.22</v>
      </c>
      <c r="D532">
        <v>1</v>
      </c>
      <c r="E532" s="1">
        <v>38111</v>
      </c>
      <c r="F532" t="s">
        <v>0</v>
      </c>
      <c r="G532">
        <v>2</v>
      </c>
      <c r="H532">
        <v>2004</v>
      </c>
      <c r="I532" t="s">
        <v>1</v>
      </c>
      <c r="J532" t="s">
        <v>76</v>
      </c>
      <c r="K532" t="s">
        <v>15</v>
      </c>
      <c r="L532" t="s">
        <v>16</v>
      </c>
      <c r="M532" t="s">
        <v>3</v>
      </c>
      <c r="N532" t="s">
        <v>4</v>
      </c>
      <c r="O532" t="s">
        <v>135</v>
      </c>
      <c r="P532" t="s">
        <v>5</v>
      </c>
      <c r="Q532" t="s">
        <v>6</v>
      </c>
      <c r="R532" t="s">
        <v>326</v>
      </c>
      <c r="S532" t="s">
        <v>7</v>
      </c>
      <c r="T532" t="s">
        <v>327</v>
      </c>
      <c r="U532">
        <f>Sales_Order[[#This Row],[Quantity ordered]]*Sales_Order[[#This Row],[Price each]]</f>
        <v>1357.72</v>
      </c>
    </row>
    <row r="533" spans="1:21" x14ac:dyDescent="0.3">
      <c r="A533">
        <v>10264</v>
      </c>
      <c r="B533">
        <v>48</v>
      </c>
      <c r="C533">
        <v>54.71</v>
      </c>
      <c r="D533">
        <v>3</v>
      </c>
      <c r="E533" s="1">
        <v>38168</v>
      </c>
      <c r="F533" t="s">
        <v>0</v>
      </c>
      <c r="G533">
        <v>2</v>
      </c>
      <c r="H533">
        <v>2004</v>
      </c>
      <c r="I533" t="s">
        <v>1</v>
      </c>
      <c r="J533" t="s">
        <v>76</v>
      </c>
      <c r="K533" t="s">
        <v>263</v>
      </c>
      <c r="L533" t="s">
        <v>264</v>
      </c>
      <c r="M533" t="s">
        <v>265</v>
      </c>
      <c r="N533" t="s">
        <v>181</v>
      </c>
      <c r="O533" t="s">
        <v>266</v>
      </c>
      <c r="P533" t="s">
        <v>5</v>
      </c>
      <c r="Q533" t="s">
        <v>6</v>
      </c>
      <c r="R533" t="s">
        <v>360</v>
      </c>
      <c r="S533" t="s">
        <v>7</v>
      </c>
      <c r="T533" t="s">
        <v>331</v>
      </c>
      <c r="U533">
        <f>Sales_Order[[#This Row],[Quantity ordered]]*Sales_Order[[#This Row],[Price each]]</f>
        <v>2626.08</v>
      </c>
    </row>
    <row r="534" spans="1:21" x14ac:dyDescent="0.3">
      <c r="A534">
        <v>10276</v>
      </c>
      <c r="B534">
        <v>33</v>
      </c>
      <c r="C534">
        <v>50.36</v>
      </c>
      <c r="D534">
        <v>9</v>
      </c>
      <c r="E534" s="1">
        <v>38025</v>
      </c>
      <c r="F534" t="s">
        <v>0</v>
      </c>
      <c r="G534">
        <v>3</v>
      </c>
      <c r="H534">
        <v>2004</v>
      </c>
      <c r="I534" t="s">
        <v>1</v>
      </c>
      <c r="J534" t="s">
        <v>76</v>
      </c>
      <c r="K534" t="s">
        <v>279</v>
      </c>
      <c r="L534" t="s">
        <v>280</v>
      </c>
      <c r="M534" t="s">
        <v>235</v>
      </c>
      <c r="N534" t="s">
        <v>181</v>
      </c>
      <c r="O534" t="s">
        <v>236</v>
      </c>
      <c r="P534" t="s">
        <v>5</v>
      </c>
      <c r="Q534" t="s">
        <v>6</v>
      </c>
      <c r="R534" t="s">
        <v>365</v>
      </c>
      <c r="S534" t="s">
        <v>7</v>
      </c>
      <c r="T534" t="s">
        <v>322</v>
      </c>
      <c r="U534">
        <f>Sales_Order[[#This Row],[Quantity ordered]]*Sales_Order[[#This Row],[Price each]]</f>
        <v>1661.8799999999999</v>
      </c>
    </row>
    <row r="535" spans="1:21" x14ac:dyDescent="0.3">
      <c r="A535">
        <v>10319</v>
      </c>
      <c r="B535">
        <v>44</v>
      </c>
      <c r="C535">
        <v>59.06</v>
      </c>
      <c r="D535">
        <v>4</v>
      </c>
      <c r="E535" s="1">
        <v>38057</v>
      </c>
      <c r="F535" t="s">
        <v>0</v>
      </c>
      <c r="G535">
        <v>4</v>
      </c>
      <c r="H535">
        <v>2004</v>
      </c>
      <c r="I535" t="s">
        <v>1</v>
      </c>
      <c r="J535" t="s">
        <v>76</v>
      </c>
      <c r="K535" t="s">
        <v>41</v>
      </c>
      <c r="L535" t="s">
        <v>42</v>
      </c>
      <c r="M535" t="s">
        <v>3</v>
      </c>
      <c r="N535" t="s">
        <v>4</v>
      </c>
      <c r="O535" t="s">
        <v>135</v>
      </c>
      <c r="P535" t="s">
        <v>5</v>
      </c>
      <c r="Q535" t="s">
        <v>6</v>
      </c>
      <c r="R535" t="s">
        <v>367</v>
      </c>
      <c r="S535" t="s">
        <v>7</v>
      </c>
      <c r="T535" t="s">
        <v>334</v>
      </c>
      <c r="U535">
        <f>Sales_Order[[#This Row],[Quantity ordered]]*Sales_Order[[#This Row],[Price each]]</f>
        <v>2598.6400000000003</v>
      </c>
    </row>
    <row r="536" spans="1:21" x14ac:dyDescent="0.3">
      <c r="A536">
        <v>10342</v>
      </c>
      <c r="B536">
        <v>26</v>
      </c>
      <c r="C536">
        <v>55.95</v>
      </c>
      <c r="D536">
        <v>8</v>
      </c>
      <c r="E536" s="1">
        <v>38315</v>
      </c>
      <c r="F536" t="s">
        <v>0</v>
      </c>
      <c r="G536">
        <v>4</v>
      </c>
      <c r="H536">
        <v>2004</v>
      </c>
      <c r="I536" t="s">
        <v>1</v>
      </c>
      <c r="J536" t="s">
        <v>76</v>
      </c>
      <c r="K536" t="s">
        <v>9</v>
      </c>
      <c r="L536" t="s">
        <v>10</v>
      </c>
      <c r="M536" t="s">
        <v>11</v>
      </c>
      <c r="N536" t="s">
        <v>12</v>
      </c>
      <c r="O536" t="s">
        <v>134</v>
      </c>
      <c r="P536" t="s">
        <v>13</v>
      </c>
      <c r="Q536" t="s">
        <v>14</v>
      </c>
      <c r="R536" t="s">
        <v>325</v>
      </c>
      <c r="S536" t="s">
        <v>7</v>
      </c>
      <c r="T536" t="s">
        <v>334</v>
      </c>
      <c r="U536">
        <f>Sales_Order[[#This Row],[Quantity ordered]]*Sales_Order[[#This Row],[Price each]]</f>
        <v>1454.7</v>
      </c>
    </row>
    <row r="537" spans="1:21" x14ac:dyDescent="0.3">
      <c r="A537">
        <v>10390</v>
      </c>
      <c r="B537">
        <v>36</v>
      </c>
      <c r="C537">
        <v>100</v>
      </c>
      <c r="D537">
        <v>2</v>
      </c>
      <c r="E537" s="1">
        <v>38445</v>
      </c>
      <c r="F537" t="s">
        <v>0</v>
      </c>
      <c r="G537">
        <v>1</v>
      </c>
      <c r="H537">
        <v>2005</v>
      </c>
      <c r="I537" t="s">
        <v>1</v>
      </c>
      <c r="J537" t="s">
        <v>76</v>
      </c>
      <c r="K537" t="s">
        <v>225</v>
      </c>
      <c r="L537" t="s">
        <v>226</v>
      </c>
      <c r="M537" t="s">
        <v>227</v>
      </c>
      <c r="N537" t="s">
        <v>161</v>
      </c>
      <c r="O537" t="s">
        <v>177</v>
      </c>
      <c r="P537" t="s">
        <v>5</v>
      </c>
      <c r="Q537" t="s">
        <v>6</v>
      </c>
      <c r="R537" t="s">
        <v>349</v>
      </c>
      <c r="S537" t="s">
        <v>8</v>
      </c>
      <c r="T537" t="s">
        <v>338</v>
      </c>
      <c r="U537">
        <f>Sales_Order[[#This Row],[Quantity ordered]]*Sales_Order[[#This Row],[Price each]]</f>
        <v>3600</v>
      </c>
    </row>
    <row r="538" spans="1:21" x14ac:dyDescent="0.3">
      <c r="A538">
        <v>10130</v>
      </c>
      <c r="B538">
        <v>33</v>
      </c>
      <c r="C538">
        <v>100</v>
      </c>
      <c r="D538">
        <v>1</v>
      </c>
      <c r="E538" s="1">
        <v>37788</v>
      </c>
      <c r="F538" t="s">
        <v>0</v>
      </c>
      <c r="G538">
        <v>2</v>
      </c>
      <c r="H538">
        <v>2003</v>
      </c>
      <c r="I538" t="s">
        <v>49</v>
      </c>
      <c r="J538" t="s">
        <v>309</v>
      </c>
      <c r="K538" t="s">
        <v>305</v>
      </c>
      <c r="L538" t="s">
        <v>306</v>
      </c>
      <c r="M538" t="s">
        <v>235</v>
      </c>
      <c r="N538" t="s">
        <v>181</v>
      </c>
      <c r="O538" t="s">
        <v>236</v>
      </c>
      <c r="P538" t="s">
        <v>5</v>
      </c>
      <c r="Q538" t="s">
        <v>6</v>
      </c>
      <c r="R538" t="s">
        <v>373</v>
      </c>
      <c r="S538" t="s">
        <v>8</v>
      </c>
      <c r="T538" t="s">
        <v>331</v>
      </c>
      <c r="U538">
        <f>Sales_Order[[#This Row],[Quantity ordered]]*Sales_Order[[#This Row],[Price each]]</f>
        <v>3300</v>
      </c>
    </row>
    <row r="539" spans="1:21" x14ac:dyDescent="0.3">
      <c r="A539">
        <v>10143</v>
      </c>
      <c r="B539">
        <v>34</v>
      </c>
      <c r="C539">
        <v>100</v>
      </c>
      <c r="D539">
        <v>12</v>
      </c>
      <c r="E539" s="1">
        <v>37902</v>
      </c>
      <c r="F539" t="s">
        <v>0</v>
      </c>
      <c r="G539">
        <v>3</v>
      </c>
      <c r="H539">
        <v>2003</v>
      </c>
      <c r="I539" t="s">
        <v>49</v>
      </c>
      <c r="J539" t="s">
        <v>309</v>
      </c>
      <c r="K539" t="s">
        <v>252</v>
      </c>
      <c r="L539" t="s">
        <v>253</v>
      </c>
      <c r="M539" t="s">
        <v>191</v>
      </c>
      <c r="N539" t="s">
        <v>181</v>
      </c>
      <c r="O539" t="s">
        <v>192</v>
      </c>
      <c r="P539" t="s">
        <v>5</v>
      </c>
      <c r="Q539" t="s">
        <v>6</v>
      </c>
      <c r="R539" t="s">
        <v>357</v>
      </c>
      <c r="S539" t="s">
        <v>8</v>
      </c>
      <c r="T539" t="s">
        <v>322</v>
      </c>
      <c r="U539">
        <f>Sales_Order[[#This Row],[Quantity ordered]]*Sales_Order[[#This Row],[Price each]]</f>
        <v>3400</v>
      </c>
    </row>
    <row r="540" spans="1:21" x14ac:dyDescent="0.3">
      <c r="A540">
        <v>10222</v>
      </c>
      <c r="B540">
        <v>45</v>
      </c>
      <c r="C540">
        <v>85.75</v>
      </c>
      <c r="D540">
        <v>9</v>
      </c>
      <c r="E540" s="1">
        <v>38036</v>
      </c>
      <c r="F540" t="s">
        <v>0</v>
      </c>
      <c r="G540">
        <v>1</v>
      </c>
      <c r="H540">
        <v>2004</v>
      </c>
      <c r="I540" t="s">
        <v>49</v>
      </c>
      <c r="J540" t="s">
        <v>309</v>
      </c>
      <c r="K540" t="s">
        <v>255</v>
      </c>
      <c r="L540" t="s">
        <v>256</v>
      </c>
      <c r="M540" t="s">
        <v>257</v>
      </c>
      <c r="N540" t="s">
        <v>161</v>
      </c>
      <c r="O540" t="s">
        <v>258</v>
      </c>
      <c r="P540" t="s">
        <v>5</v>
      </c>
      <c r="Q540" t="s">
        <v>6</v>
      </c>
      <c r="R540" t="s">
        <v>358</v>
      </c>
      <c r="S540" t="s">
        <v>8</v>
      </c>
      <c r="T540" t="s">
        <v>320</v>
      </c>
      <c r="U540">
        <f>Sales_Order[[#This Row],[Quantity ordered]]*Sales_Order[[#This Row],[Price each]]</f>
        <v>3858.75</v>
      </c>
    </row>
    <row r="541" spans="1:21" x14ac:dyDescent="0.3">
      <c r="A541">
        <v>10249</v>
      </c>
      <c r="B541">
        <v>46</v>
      </c>
      <c r="C541">
        <v>100</v>
      </c>
      <c r="D541">
        <v>5</v>
      </c>
      <c r="E541" s="1">
        <v>38204</v>
      </c>
      <c r="F541" t="s">
        <v>0</v>
      </c>
      <c r="G541">
        <v>2</v>
      </c>
      <c r="H541">
        <v>2004</v>
      </c>
      <c r="I541" t="s">
        <v>49</v>
      </c>
      <c r="J541" t="s">
        <v>309</v>
      </c>
      <c r="K541" t="s">
        <v>214</v>
      </c>
      <c r="L541" t="s">
        <v>215</v>
      </c>
      <c r="M541" t="s">
        <v>180</v>
      </c>
      <c r="N541" t="s">
        <v>181</v>
      </c>
      <c r="O541" t="s">
        <v>182</v>
      </c>
      <c r="P541" t="s">
        <v>5</v>
      </c>
      <c r="Q541" t="s">
        <v>6</v>
      </c>
      <c r="R541" t="s">
        <v>346</v>
      </c>
      <c r="S541" t="s">
        <v>8</v>
      </c>
      <c r="T541" t="s">
        <v>329</v>
      </c>
      <c r="U541">
        <f>Sales_Order[[#This Row],[Quantity ordered]]*Sales_Order[[#This Row],[Price each]]</f>
        <v>4600</v>
      </c>
    </row>
    <row r="542" spans="1:21" x14ac:dyDescent="0.3">
      <c r="A542">
        <v>10283</v>
      </c>
      <c r="B542">
        <v>46</v>
      </c>
      <c r="C542">
        <v>100</v>
      </c>
      <c r="D542">
        <v>3</v>
      </c>
      <c r="E542" s="1">
        <v>38219</v>
      </c>
      <c r="F542" t="s">
        <v>0</v>
      </c>
      <c r="G542">
        <v>3</v>
      </c>
      <c r="H542">
        <v>2004</v>
      </c>
      <c r="I542" t="s">
        <v>49</v>
      </c>
      <c r="J542" t="s">
        <v>309</v>
      </c>
      <c r="K542" t="s">
        <v>259</v>
      </c>
      <c r="L542" t="s">
        <v>260</v>
      </c>
      <c r="M542" t="s">
        <v>261</v>
      </c>
      <c r="N542" t="s">
        <v>208</v>
      </c>
      <c r="O542" t="s">
        <v>262</v>
      </c>
      <c r="P542" t="s">
        <v>210</v>
      </c>
      <c r="Q542" t="s">
        <v>6</v>
      </c>
      <c r="R542" t="s">
        <v>359</v>
      </c>
      <c r="S542" t="s">
        <v>8</v>
      </c>
      <c r="T542" t="s">
        <v>322</v>
      </c>
      <c r="U542">
        <f>Sales_Order[[#This Row],[Quantity ordered]]*Sales_Order[[#This Row],[Price each]]</f>
        <v>4600</v>
      </c>
    </row>
    <row r="543" spans="1:21" x14ac:dyDescent="0.3">
      <c r="A543">
        <v>10307</v>
      </c>
      <c r="B543">
        <v>48</v>
      </c>
      <c r="C543">
        <v>86.81</v>
      </c>
      <c r="D543">
        <v>6</v>
      </c>
      <c r="E543" s="1">
        <v>38274</v>
      </c>
      <c r="F543" t="s">
        <v>0</v>
      </c>
      <c r="G543">
        <v>4</v>
      </c>
      <c r="H543">
        <v>2004</v>
      </c>
      <c r="I543" t="s">
        <v>49</v>
      </c>
      <c r="J543" t="s">
        <v>309</v>
      </c>
      <c r="K543" t="s">
        <v>201</v>
      </c>
      <c r="L543" t="s">
        <v>202</v>
      </c>
      <c r="M543" t="s">
        <v>203</v>
      </c>
      <c r="N543" t="s">
        <v>186</v>
      </c>
      <c r="O543" t="s">
        <v>204</v>
      </c>
      <c r="P543" t="s">
        <v>5</v>
      </c>
      <c r="Q543" t="s">
        <v>6</v>
      </c>
      <c r="R543" t="s">
        <v>342</v>
      </c>
      <c r="S543" t="s">
        <v>8</v>
      </c>
      <c r="T543" t="s">
        <v>324</v>
      </c>
      <c r="U543">
        <f>Sales_Order[[#This Row],[Quantity ordered]]*Sales_Order[[#This Row],[Price each]]</f>
        <v>4166.88</v>
      </c>
    </row>
    <row r="544" spans="1:21" x14ac:dyDescent="0.3">
      <c r="A544">
        <v>10316</v>
      </c>
      <c r="B544">
        <v>47</v>
      </c>
      <c r="C544">
        <v>86.81</v>
      </c>
      <c r="D544">
        <v>14</v>
      </c>
      <c r="E544" s="1">
        <v>37997</v>
      </c>
      <c r="F544" t="s">
        <v>0</v>
      </c>
      <c r="G544">
        <v>4</v>
      </c>
      <c r="H544">
        <v>2004</v>
      </c>
      <c r="I544" t="s">
        <v>49</v>
      </c>
      <c r="J544" t="s">
        <v>309</v>
      </c>
      <c r="K544" t="s">
        <v>267</v>
      </c>
      <c r="L544" t="s">
        <v>268</v>
      </c>
      <c r="M544" t="s">
        <v>269</v>
      </c>
      <c r="N544" t="s">
        <v>270</v>
      </c>
      <c r="O544" t="s">
        <v>271</v>
      </c>
      <c r="P544" t="s">
        <v>193</v>
      </c>
      <c r="Q544" t="s">
        <v>157</v>
      </c>
      <c r="R544" t="s">
        <v>362</v>
      </c>
      <c r="S544" t="s">
        <v>8</v>
      </c>
      <c r="T544" t="s">
        <v>334</v>
      </c>
      <c r="U544">
        <f>Sales_Order[[#This Row],[Quantity ordered]]*Sales_Order[[#This Row],[Price each]]</f>
        <v>4080.07</v>
      </c>
    </row>
    <row r="545" spans="1:21" x14ac:dyDescent="0.3">
      <c r="A545">
        <v>10400</v>
      </c>
      <c r="B545">
        <v>58</v>
      </c>
      <c r="C545">
        <v>100</v>
      </c>
      <c r="D545">
        <v>6</v>
      </c>
      <c r="E545" s="1">
        <v>38356</v>
      </c>
      <c r="F545" t="s">
        <v>0</v>
      </c>
      <c r="G545">
        <v>2</v>
      </c>
      <c r="H545">
        <v>2005</v>
      </c>
      <c r="I545" t="s">
        <v>49</v>
      </c>
      <c r="J545" t="s">
        <v>309</v>
      </c>
      <c r="K545" t="s">
        <v>272</v>
      </c>
      <c r="L545" t="s">
        <v>273</v>
      </c>
      <c r="M545" t="s">
        <v>274</v>
      </c>
      <c r="N545" t="s">
        <v>161</v>
      </c>
      <c r="O545" t="s">
        <v>166</v>
      </c>
      <c r="P545" t="s">
        <v>5</v>
      </c>
      <c r="Q545" t="s">
        <v>6</v>
      </c>
      <c r="R545" t="s">
        <v>363</v>
      </c>
      <c r="S545" t="s">
        <v>17</v>
      </c>
      <c r="T545" t="s">
        <v>327</v>
      </c>
      <c r="U545">
        <f>Sales_Order[[#This Row],[Quantity ordered]]*Sales_Order[[#This Row],[Price each]]</f>
        <v>5800</v>
      </c>
    </row>
    <row r="546" spans="1:21" x14ac:dyDescent="0.3">
      <c r="A546">
        <v>10415</v>
      </c>
      <c r="B546">
        <v>51</v>
      </c>
      <c r="C546">
        <v>100</v>
      </c>
      <c r="D546">
        <v>5</v>
      </c>
      <c r="E546" s="1">
        <v>38600</v>
      </c>
      <c r="F546" t="s">
        <v>194</v>
      </c>
      <c r="G546">
        <v>2</v>
      </c>
      <c r="H546">
        <v>2005</v>
      </c>
      <c r="I546" t="s">
        <v>49</v>
      </c>
      <c r="J546" t="s">
        <v>309</v>
      </c>
      <c r="K546" t="s">
        <v>296</v>
      </c>
      <c r="L546" t="s">
        <v>297</v>
      </c>
      <c r="M546" t="s">
        <v>298</v>
      </c>
      <c r="N546" t="s">
        <v>12</v>
      </c>
      <c r="O546" t="s">
        <v>299</v>
      </c>
      <c r="P546" t="s">
        <v>13</v>
      </c>
      <c r="Q546" t="s">
        <v>14</v>
      </c>
      <c r="R546" t="s">
        <v>371</v>
      </c>
      <c r="S546" t="s">
        <v>8</v>
      </c>
      <c r="T546" t="s">
        <v>329</v>
      </c>
      <c r="U546">
        <f>Sales_Order[[#This Row],[Quantity ordered]]*Sales_Order[[#This Row],[Price each]]</f>
        <v>5100</v>
      </c>
    </row>
    <row r="547" spans="1:21" x14ac:dyDescent="0.3">
      <c r="A547">
        <v>10127</v>
      </c>
      <c r="B547">
        <v>25</v>
      </c>
      <c r="C547">
        <v>100</v>
      </c>
      <c r="D547">
        <v>5</v>
      </c>
      <c r="E547" s="1">
        <v>37686</v>
      </c>
      <c r="F547" t="s">
        <v>0</v>
      </c>
      <c r="G547">
        <v>2</v>
      </c>
      <c r="H547">
        <v>2003</v>
      </c>
      <c r="I547" t="s">
        <v>22</v>
      </c>
      <c r="J547" t="s">
        <v>77</v>
      </c>
      <c r="K547" t="s">
        <v>36</v>
      </c>
      <c r="L547" t="s">
        <v>37</v>
      </c>
      <c r="M547" t="s">
        <v>3</v>
      </c>
      <c r="N547" t="s">
        <v>4</v>
      </c>
      <c r="O547" t="s">
        <v>135</v>
      </c>
      <c r="P547" t="s">
        <v>5</v>
      </c>
      <c r="Q547" t="s">
        <v>6</v>
      </c>
      <c r="R547" t="s">
        <v>366</v>
      </c>
      <c r="S547" t="s">
        <v>8</v>
      </c>
      <c r="T547" t="s">
        <v>331</v>
      </c>
      <c r="U547">
        <f>Sales_Order[[#This Row],[Quantity ordered]]*Sales_Order[[#This Row],[Price each]]</f>
        <v>2500</v>
      </c>
    </row>
    <row r="548" spans="1:21" x14ac:dyDescent="0.3">
      <c r="A548">
        <v>10142</v>
      </c>
      <c r="B548">
        <v>24</v>
      </c>
      <c r="C548">
        <v>100</v>
      </c>
      <c r="D548">
        <v>15</v>
      </c>
      <c r="E548" s="1">
        <v>37841</v>
      </c>
      <c r="F548" t="s">
        <v>0</v>
      </c>
      <c r="G548">
        <v>3</v>
      </c>
      <c r="H548">
        <v>2003</v>
      </c>
      <c r="I548" t="s">
        <v>22</v>
      </c>
      <c r="J548" t="s">
        <v>77</v>
      </c>
      <c r="K548" t="s">
        <v>225</v>
      </c>
      <c r="L548" t="s">
        <v>226</v>
      </c>
      <c r="M548" t="s">
        <v>227</v>
      </c>
      <c r="N548" t="s">
        <v>161</v>
      </c>
      <c r="O548" t="s">
        <v>177</v>
      </c>
      <c r="P548" t="s">
        <v>5</v>
      </c>
      <c r="Q548" t="s">
        <v>6</v>
      </c>
      <c r="R548" t="s">
        <v>349</v>
      </c>
      <c r="S548" t="s">
        <v>8</v>
      </c>
      <c r="T548" t="s">
        <v>322</v>
      </c>
      <c r="U548">
        <f>Sales_Order[[#This Row],[Quantity ordered]]*Sales_Order[[#This Row],[Price each]]</f>
        <v>2400</v>
      </c>
    </row>
    <row r="549" spans="1:21" x14ac:dyDescent="0.3">
      <c r="A549">
        <v>10152</v>
      </c>
      <c r="B549">
        <v>35</v>
      </c>
      <c r="C549">
        <v>100</v>
      </c>
      <c r="D549">
        <v>1</v>
      </c>
      <c r="E549" s="1">
        <v>37889</v>
      </c>
      <c r="F549" t="s">
        <v>0</v>
      </c>
      <c r="G549">
        <v>3</v>
      </c>
      <c r="H549">
        <v>2003</v>
      </c>
      <c r="I549" t="s">
        <v>22</v>
      </c>
      <c r="J549" t="s">
        <v>77</v>
      </c>
      <c r="K549" t="s">
        <v>196</v>
      </c>
      <c r="L549" t="s">
        <v>197</v>
      </c>
      <c r="M549" t="s">
        <v>198</v>
      </c>
      <c r="N549" t="s">
        <v>199</v>
      </c>
      <c r="O549" t="s">
        <v>200</v>
      </c>
      <c r="P549" t="s">
        <v>13</v>
      </c>
      <c r="Q549" t="s">
        <v>14</v>
      </c>
      <c r="R549" t="s">
        <v>341</v>
      </c>
      <c r="S549" t="s">
        <v>8</v>
      </c>
      <c r="T549" t="s">
        <v>361</v>
      </c>
      <c r="U549">
        <f>Sales_Order[[#This Row],[Quantity ordered]]*Sales_Order[[#This Row],[Price each]]</f>
        <v>3500</v>
      </c>
    </row>
    <row r="550" spans="1:21" x14ac:dyDescent="0.3">
      <c r="A550">
        <v>10185</v>
      </c>
      <c r="B550">
        <v>39</v>
      </c>
      <c r="C550">
        <v>100</v>
      </c>
      <c r="D550">
        <v>16</v>
      </c>
      <c r="E550" s="1">
        <v>37939</v>
      </c>
      <c r="F550" t="s">
        <v>0</v>
      </c>
      <c r="G550">
        <v>4</v>
      </c>
      <c r="H550">
        <v>2003</v>
      </c>
      <c r="I550" t="s">
        <v>22</v>
      </c>
      <c r="J550" t="s">
        <v>77</v>
      </c>
      <c r="K550" t="s">
        <v>252</v>
      </c>
      <c r="L550" t="s">
        <v>253</v>
      </c>
      <c r="M550" t="s">
        <v>191</v>
      </c>
      <c r="N550" t="s">
        <v>181</v>
      </c>
      <c r="O550" t="s">
        <v>192</v>
      </c>
      <c r="P550" t="s">
        <v>5</v>
      </c>
      <c r="Q550" t="s">
        <v>6</v>
      </c>
      <c r="R550" t="s">
        <v>357</v>
      </c>
      <c r="S550" t="s">
        <v>8</v>
      </c>
      <c r="T550" t="s">
        <v>334</v>
      </c>
      <c r="U550">
        <f>Sales_Order[[#This Row],[Quantity ordered]]*Sales_Order[[#This Row],[Price each]]</f>
        <v>3900</v>
      </c>
    </row>
    <row r="551" spans="1:21" x14ac:dyDescent="0.3">
      <c r="A551">
        <v>10196</v>
      </c>
      <c r="B551">
        <v>27</v>
      </c>
      <c r="C551">
        <v>100</v>
      </c>
      <c r="D551">
        <v>8</v>
      </c>
      <c r="E551" s="1">
        <v>37951</v>
      </c>
      <c r="F551" t="s">
        <v>0</v>
      </c>
      <c r="G551">
        <v>4</v>
      </c>
      <c r="H551">
        <v>2003</v>
      </c>
      <c r="I551" t="s">
        <v>22</v>
      </c>
      <c r="J551" t="s">
        <v>77</v>
      </c>
      <c r="K551" t="s">
        <v>216</v>
      </c>
      <c r="L551" t="s">
        <v>217</v>
      </c>
      <c r="M551" t="s">
        <v>218</v>
      </c>
      <c r="N551" t="s">
        <v>176</v>
      </c>
      <c r="O551" t="s">
        <v>219</v>
      </c>
      <c r="P551" t="s">
        <v>5</v>
      </c>
      <c r="Q551" t="s">
        <v>6</v>
      </c>
      <c r="R551" t="s">
        <v>347</v>
      </c>
      <c r="S551" t="s">
        <v>8</v>
      </c>
      <c r="T551" t="s">
        <v>334</v>
      </c>
      <c r="U551">
        <f>Sales_Order[[#This Row],[Quantity ordered]]*Sales_Order[[#This Row],[Price each]]</f>
        <v>2700</v>
      </c>
    </row>
    <row r="552" spans="1:21" x14ac:dyDescent="0.3">
      <c r="A552">
        <v>10207</v>
      </c>
      <c r="B552">
        <v>40</v>
      </c>
      <c r="C552">
        <v>100</v>
      </c>
      <c r="D552">
        <v>1</v>
      </c>
      <c r="E552" s="1">
        <v>37876</v>
      </c>
      <c r="F552" t="s">
        <v>0</v>
      </c>
      <c r="G552">
        <v>4</v>
      </c>
      <c r="H552">
        <v>2003</v>
      </c>
      <c r="I552" t="s">
        <v>22</v>
      </c>
      <c r="J552" t="s">
        <v>77</v>
      </c>
      <c r="K552" t="s">
        <v>277</v>
      </c>
      <c r="L552" t="s">
        <v>278</v>
      </c>
      <c r="M552" t="s">
        <v>265</v>
      </c>
      <c r="N552" t="s">
        <v>181</v>
      </c>
      <c r="O552" t="s">
        <v>266</v>
      </c>
      <c r="P552" t="s">
        <v>5</v>
      </c>
      <c r="Q552" t="s">
        <v>6</v>
      </c>
      <c r="R552" t="s">
        <v>364</v>
      </c>
      <c r="S552" t="s">
        <v>8</v>
      </c>
      <c r="T552" t="s">
        <v>336</v>
      </c>
      <c r="U552">
        <f>Sales_Order[[#This Row],[Quantity ordered]]*Sales_Order[[#This Row],[Price each]]</f>
        <v>4000</v>
      </c>
    </row>
    <row r="553" spans="1:21" x14ac:dyDescent="0.3">
      <c r="A553">
        <v>10272</v>
      </c>
      <c r="B553">
        <v>25</v>
      </c>
      <c r="C553">
        <v>100</v>
      </c>
      <c r="D553">
        <v>5</v>
      </c>
      <c r="E553" s="1">
        <v>38188</v>
      </c>
      <c r="F553" t="s">
        <v>0</v>
      </c>
      <c r="G553">
        <v>3</v>
      </c>
      <c r="H553">
        <v>2004</v>
      </c>
      <c r="I553" t="s">
        <v>22</v>
      </c>
      <c r="J553" t="s">
        <v>77</v>
      </c>
      <c r="K553" t="s">
        <v>183</v>
      </c>
      <c r="L553" t="s">
        <v>184</v>
      </c>
      <c r="M553" t="s">
        <v>185</v>
      </c>
      <c r="N553" t="s">
        <v>186</v>
      </c>
      <c r="O553" t="s">
        <v>187</v>
      </c>
      <c r="P553" t="s">
        <v>5</v>
      </c>
      <c r="Q553" t="s">
        <v>6</v>
      </c>
      <c r="R553" t="s">
        <v>333</v>
      </c>
      <c r="S553" t="s">
        <v>8</v>
      </c>
      <c r="T553" t="s">
        <v>339</v>
      </c>
      <c r="U553">
        <f>Sales_Order[[#This Row],[Quantity ordered]]*Sales_Order[[#This Row],[Price each]]</f>
        <v>2500</v>
      </c>
    </row>
    <row r="554" spans="1:21" x14ac:dyDescent="0.3">
      <c r="A554">
        <v>10282</v>
      </c>
      <c r="B554">
        <v>31</v>
      </c>
      <c r="C554">
        <v>100</v>
      </c>
      <c r="D554">
        <v>8</v>
      </c>
      <c r="E554" s="1">
        <v>38219</v>
      </c>
      <c r="F554" t="s">
        <v>0</v>
      </c>
      <c r="G554">
        <v>3</v>
      </c>
      <c r="H554">
        <v>2004</v>
      </c>
      <c r="I554" t="s">
        <v>22</v>
      </c>
      <c r="J554" t="s">
        <v>77</v>
      </c>
      <c r="K554" t="s">
        <v>225</v>
      </c>
      <c r="L554" t="s">
        <v>226</v>
      </c>
      <c r="M554" t="s">
        <v>227</v>
      </c>
      <c r="N554" t="s">
        <v>161</v>
      </c>
      <c r="O554" t="s">
        <v>177</v>
      </c>
      <c r="P554" t="s">
        <v>5</v>
      </c>
      <c r="Q554" t="s">
        <v>6</v>
      </c>
      <c r="R554" t="s">
        <v>349</v>
      </c>
      <c r="S554" t="s">
        <v>8</v>
      </c>
      <c r="T554" t="s">
        <v>322</v>
      </c>
      <c r="U554">
        <f>Sales_Order[[#This Row],[Quantity ordered]]*Sales_Order[[#This Row],[Price each]]</f>
        <v>3100</v>
      </c>
    </row>
    <row r="555" spans="1:21" x14ac:dyDescent="0.3">
      <c r="A555">
        <v>10292</v>
      </c>
      <c r="B555">
        <v>44</v>
      </c>
      <c r="C555">
        <v>100</v>
      </c>
      <c r="D555">
        <v>2</v>
      </c>
      <c r="E555" s="1">
        <v>38208</v>
      </c>
      <c r="F555" t="s">
        <v>0</v>
      </c>
      <c r="G555">
        <v>3</v>
      </c>
      <c r="H555">
        <v>2004</v>
      </c>
      <c r="I555" t="s">
        <v>22</v>
      </c>
      <c r="J555" t="s">
        <v>77</v>
      </c>
      <c r="K555" t="s">
        <v>155</v>
      </c>
      <c r="L555" t="s">
        <v>156</v>
      </c>
      <c r="M555" t="s">
        <v>3</v>
      </c>
      <c r="N555" t="s">
        <v>4</v>
      </c>
      <c r="O555" t="s">
        <v>135</v>
      </c>
      <c r="P555" t="s">
        <v>5</v>
      </c>
      <c r="Q555" t="s">
        <v>6</v>
      </c>
      <c r="R555" t="s">
        <v>319</v>
      </c>
      <c r="S555" t="s">
        <v>17</v>
      </c>
      <c r="T555" t="s">
        <v>361</v>
      </c>
      <c r="U555">
        <f>Sales_Order[[#This Row],[Quantity ordered]]*Sales_Order[[#This Row],[Price each]]</f>
        <v>4400</v>
      </c>
    </row>
    <row r="556" spans="1:21" x14ac:dyDescent="0.3">
      <c r="A556">
        <v>10324</v>
      </c>
      <c r="B556">
        <v>49</v>
      </c>
      <c r="C556">
        <v>100</v>
      </c>
      <c r="D556">
        <v>13</v>
      </c>
      <c r="E556" s="1">
        <v>38118</v>
      </c>
      <c r="F556" t="s">
        <v>0</v>
      </c>
      <c r="G556">
        <v>4</v>
      </c>
      <c r="H556">
        <v>2004</v>
      </c>
      <c r="I556" t="s">
        <v>22</v>
      </c>
      <c r="J556" t="s">
        <v>77</v>
      </c>
      <c r="K556" t="s">
        <v>15</v>
      </c>
      <c r="L556" t="s">
        <v>16</v>
      </c>
      <c r="M556" t="s">
        <v>3</v>
      </c>
      <c r="N556" t="s">
        <v>4</v>
      </c>
      <c r="O556" t="s">
        <v>135</v>
      </c>
      <c r="P556" t="s">
        <v>5</v>
      </c>
      <c r="Q556" t="s">
        <v>6</v>
      </c>
      <c r="R556" t="s">
        <v>326</v>
      </c>
      <c r="S556" t="s">
        <v>8</v>
      </c>
      <c r="T556" t="s">
        <v>334</v>
      </c>
      <c r="U556">
        <f>Sales_Order[[#This Row],[Quantity ordered]]*Sales_Order[[#This Row],[Price each]]</f>
        <v>4900</v>
      </c>
    </row>
    <row r="557" spans="1:21" x14ac:dyDescent="0.3">
      <c r="A557">
        <v>10337</v>
      </c>
      <c r="B557">
        <v>36</v>
      </c>
      <c r="C557">
        <v>100</v>
      </c>
      <c r="D557">
        <v>3</v>
      </c>
      <c r="E557" s="1">
        <v>38312</v>
      </c>
      <c r="F557" t="s">
        <v>0</v>
      </c>
      <c r="G557">
        <v>4</v>
      </c>
      <c r="H557">
        <v>2004</v>
      </c>
      <c r="I557" t="s">
        <v>22</v>
      </c>
      <c r="J557" t="s">
        <v>77</v>
      </c>
      <c r="K557" t="s">
        <v>24</v>
      </c>
      <c r="L557" t="s">
        <v>25</v>
      </c>
      <c r="M557" t="s">
        <v>3</v>
      </c>
      <c r="N557" t="s">
        <v>4</v>
      </c>
      <c r="O557" t="s">
        <v>135</v>
      </c>
      <c r="P557" t="s">
        <v>5</v>
      </c>
      <c r="Q557" t="s">
        <v>6</v>
      </c>
      <c r="R557" t="s">
        <v>340</v>
      </c>
      <c r="S557" t="s">
        <v>8</v>
      </c>
      <c r="T557" t="s">
        <v>334</v>
      </c>
      <c r="U557">
        <f>Sales_Order[[#This Row],[Quantity ordered]]*Sales_Order[[#This Row],[Price each]]</f>
        <v>3600</v>
      </c>
    </row>
    <row r="558" spans="1:21" x14ac:dyDescent="0.3">
      <c r="A558">
        <v>10349</v>
      </c>
      <c r="B558">
        <v>34</v>
      </c>
      <c r="C558">
        <v>100</v>
      </c>
      <c r="D558">
        <v>5</v>
      </c>
      <c r="E558" s="1">
        <v>37998</v>
      </c>
      <c r="F558" t="s">
        <v>0</v>
      </c>
      <c r="G558">
        <v>4</v>
      </c>
      <c r="H558">
        <v>2004</v>
      </c>
      <c r="I558" t="s">
        <v>22</v>
      </c>
      <c r="J558" t="s">
        <v>77</v>
      </c>
      <c r="K558" t="s">
        <v>36</v>
      </c>
      <c r="L558" t="s">
        <v>37</v>
      </c>
      <c r="M558" t="s">
        <v>3</v>
      </c>
      <c r="N558" t="s">
        <v>4</v>
      </c>
      <c r="O558" t="s">
        <v>135</v>
      </c>
      <c r="P558" t="s">
        <v>5</v>
      </c>
      <c r="Q558" t="s">
        <v>6</v>
      </c>
      <c r="R558" t="s">
        <v>366</v>
      </c>
      <c r="S558" t="s">
        <v>8</v>
      </c>
      <c r="T558" t="s">
        <v>336</v>
      </c>
      <c r="U558">
        <f>Sales_Order[[#This Row],[Quantity ordered]]*Sales_Order[[#This Row],[Price each]]</f>
        <v>3400</v>
      </c>
    </row>
    <row r="559" spans="1:21" x14ac:dyDescent="0.3">
      <c r="A559">
        <v>10372</v>
      </c>
      <c r="B559">
        <v>48</v>
      </c>
      <c r="C559">
        <v>100</v>
      </c>
      <c r="D559">
        <v>6</v>
      </c>
      <c r="E559" s="1">
        <v>38378</v>
      </c>
      <c r="F559" t="s">
        <v>0</v>
      </c>
      <c r="G559">
        <v>1</v>
      </c>
      <c r="H559">
        <v>2005</v>
      </c>
      <c r="I559" t="s">
        <v>22</v>
      </c>
      <c r="J559" t="s">
        <v>77</v>
      </c>
      <c r="K559" t="s">
        <v>220</v>
      </c>
      <c r="L559" t="s">
        <v>221</v>
      </c>
      <c r="M559" t="s">
        <v>222</v>
      </c>
      <c r="N559" t="s">
        <v>223</v>
      </c>
      <c r="O559" t="s">
        <v>224</v>
      </c>
      <c r="P559" t="s">
        <v>195</v>
      </c>
      <c r="Q559" t="s">
        <v>195</v>
      </c>
      <c r="R559" t="s">
        <v>348</v>
      </c>
      <c r="S559" t="s">
        <v>17</v>
      </c>
      <c r="T559" t="s">
        <v>345</v>
      </c>
      <c r="U559">
        <f>Sales_Order[[#This Row],[Quantity ordered]]*Sales_Order[[#This Row],[Price each]]</f>
        <v>4800</v>
      </c>
    </row>
    <row r="560" spans="1:21" x14ac:dyDescent="0.3">
      <c r="A560">
        <v>10413</v>
      </c>
      <c r="B560">
        <v>49</v>
      </c>
      <c r="C560">
        <v>100</v>
      </c>
      <c r="D560">
        <v>5</v>
      </c>
      <c r="E560" s="1">
        <v>38477</v>
      </c>
      <c r="F560" t="s">
        <v>0</v>
      </c>
      <c r="G560">
        <v>2</v>
      </c>
      <c r="H560">
        <v>2005</v>
      </c>
      <c r="I560" t="s">
        <v>22</v>
      </c>
      <c r="J560" t="s">
        <v>77</v>
      </c>
      <c r="K560" t="s">
        <v>173</v>
      </c>
      <c r="L560" t="s">
        <v>174</v>
      </c>
      <c r="M560" t="s">
        <v>175</v>
      </c>
      <c r="N560" t="s">
        <v>176</v>
      </c>
      <c r="O560" t="s">
        <v>177</v>
      </c>
      <c r="P560" t="s">
        <v>5</v>
      </c>
      <c r="Q560" t="s">
        <v>6</v>
      </c>
      <c r="R560" t="s">
        <v>330</v>
      </c>
      <c r="S560" t="s">
        <v>8</v>
      </c>
      <c r="T560" t="s">
        <v>329</v>
      </c>
      <c r="U560">
        <f>Sales_Order[[#This Row],[Quantity ordered]]*Sales_Order[[#This Row],[Price each]]</f>
        <v>4900</v>
      </c>
    </row>
    <row r="561" spans="1:21" x14ac:dyDescent="0.3">
      <c r="A561">
        <v>10100</v>
      </c>
      <c r="B561">
        <v>22</v>
      </c>
      <c r="C561">
        <v>86.51</v>
      </c>
      <c r="D561">
        <v>4</v>
      </c>
      <c r="E561" s="1">
        <v>37773</v>
      </c>
      <c r="F561" t="s">
        <v>0</v>
      </c>
      <c r="G561">
        <v>1</v>
      </c>
      <c r="H561">
        <v>2003</v>
      </c>
      <c r="I561" t="s">
        <v>49</v>
      </c>
      <c r="J561" t="s">
        <v>78</v>
      </c>
      <c r="K561" t="s">
        <v>228</v>
      </c>
      <c r="L561" t="s">
        <v>229</v>
      </c>
      <c r="M561" t="s">
        <v>230</v>
      </c>
      <c r="N561" t="s">
        <v>231</v>
      </c>
      <c r="O561" t="s">
        <v>232</v>
      </c>
      <c r="P561" t="s">
        <v>5</v>
      </c>
      <c r="Q561" t="s">
        <v>6</v>
      </c>
      <c r="R561" t="s">
        <v>350</v>
      </c>
      <c r="S561" t="s">
        <v>7</v>
      </c>
      <c r="T561" t="s">
        <v>345</v>
      </c>
      <c r="U561">
        <f>Sales_Order[[#This Row],[Quantity ordered]]*Sales_Order[[#This Row],[Price each]]</f>
        <v>1903.22</v>
      </c>
    </row>
    <row r="562" spans="1:21" x14ac:dyDescent="0.3">
      <c r="A562">
        <v>10124</v>
      </c>
      <c r="B562">
        <v>36</v>
      </c>
      <c r="C562">
        <v>85.59</v>
      </c>
      <c r="D562">
        <v>7</v>
      </c>
      <c r="E562" s="1">
        <v>37762</v>
      </c>
      <c r="F562" t="s">
        <v>0</v>
      </c>
      <c r="G562">
        <v>2</v>
      </c>
      <c r="H562">
        <v>2003</v>
      </c>
      <c r="I562" t="s">
        <v>49</v>
      </c>
      <c r="J562" t="s">
        <v>78</v>
      </c>
      <c r="K562" t="s">
        <v>290</v>
      </c>
      <c r="L562" t="s">
        <v>291</v>
      </c>
      <c r="M562" t="s">
        <v>292</v>
      </c>
      <c r="N562" t="s">
        <v>293</v>
      </c>
      <c r="O562" t="s">
        <v>294</v>
      </c>
      <c r="P562" t="s">
        <v>5</v>
      </c>
      <c r="Q562" t="s">
        <v>6</v>
      </c>
      <c r="R562" t="s">
        <v>370</v>
      </c>
      <c r="S562" t="s">
        <v>8</v>
      </c>
      <c r="T562" t="s">
        <v>329</v>
      </c>
      <c r="U562">
        <f>Sales_Order[[#This Row],[Quantity ordered]]*Sales_Order[[#This Row],[Price each]]</f>
        <v>3081.2400000000002</v>
      </c>
    </row>
    <row r="563" spans="1:21" x14ac:dyDescent="0.3">
      <c r="A563">
        <v>10148</v>
      </c>
      <c r="B563">
        <v>34</v>
      </c>
      <c r="C563">
        <v>100</v>
      </c>
      <c r="D563">
        <v>1</v>
      </c>
      <c r="E563" s="1">
        <v>37934</v>
      </c>
      <c r="F563" t="s">
        <v>0</v>
      </c>
      <c r="G563">
        <v>3</v>
      </c>
      <c r="H563">
        <v>2003</v>
      </c>
      <c r="I563" t="s">
        <v>49</v>
      </c>
      <c r="J563" t="s">
        <v>78</v>
      </c>
      <c r="K563" t="s">
        <v>26</v>
      </c>
      <c r="L563" t="s">
        <v>27</v>
      </c>
      <c r="M563" t="s">
        <v>28</v>
      </c>
      <c r="N563" t="s">
        <v>21</v>
      </c>
      <c r="O563" t="s">
        <v>137</v>
      </c>
      <c r="P563" t="s">
        <v>13</v>
      </c>
      <c r="Q563" t="s">
        <v>14</v>
      </c>
      <c r="R563" t="s">
        <v>352</v>
      </c>
      <c r="S563" t="s">
        <v>8</v>
      </c>
      <c r="T563" t="s">
        <v>361</v>
      </c>
      <c r="U563">
        <f>Sales_Order[[#This Row],[Quantity ordered]]*Sales_Order[[#This Row],[Price each]]</f>
        <v>3400</v>
      </c>
    </row>
    <row r="564" spans="1:21" x14ac:dyDescent="0.3">
      <c r="A564">
        <v>10182</v>
      </c>
      <c r="B564">
        <v>36</v>
      </c>
      <c r="C564">
        <v>100</v>
      </c>
      <c r="D564">
        <v>11</v>
      </c>
      <c r="E564" s="1">
        <v>37966</v>
      </c>
      <c r="F564" t="s">
        <v>0</v>
      </c>
      <c r="G564">
        <v>4</v>
      </c>
      <c r="H564">
        <v>2003</v>
      </c>
      <c r="I564" t="s">
        <v>49</v>
      </c>
      <c r="J564" t="s">
        <v>78</v>
      </c>
      <c r="K564" t="s">
        <v>225</v>
      </c>
      <c r="L564" t="s">
        <v>226</v>
      </c>
      <c r="M564" t="s">
        <v>227</v>
      </c>
      <c r="N564" t="s">
        <v>161</v>
      </c>
      <c r="O564" t="s">
        <v>177</v>
      </c>
      <c r="P564" t="s">
        <v>5</v>
      </c>
      <c r="Q564" t="s">
        <v>6</v>
      </c>
      <c r="R564" t="s">
        <v>349</v>
      </c>
      <c r="S564" t="s">
        <v>8</v>
      </c>
      <c r="T564" t="s">
        <v>334</v>
      </c>
      <c r="U564">
        <f>Sales_Order[[#This Row],[Quantity ordered]]*Sales_Order[[#This Row],[Price each]]</f>
        <v>3600</v>
      </c>
    </row>
    <row r="565" spans="1:21" x14ac:dyDescent="0.3">
      <c r="A565">
        <v>10193</v>
      </c>
      <c r="B565">
        <v>24</v>
      </c>
      <c r="C565">
        <v>97.55</v>
      </c>
      <c r="D565">
        <v>15</v>
      </c>
      <c r="E565" s="1">
        <v>37946</v>
      </c>
      <c r="F565" t="s">
        <v>0</v>
      </c>
      <c r="G565">
        <v>4</v>
      </c>
      <c r="H565">
        <v>2003</v>
      </c>
      <c r="I565" t="s">
        <v>49</v>
      </c>
      <c r="J565" t="s">
        <v>78</v>
      </c>
      <c r="K565" t="s">
        <v>296</v>
      </c>
      <c r="L565" t="s">
        <v>297</v>
      </c>
      <c r="M565" t="s">
        <v>298</v>
      </c>
      <c r="N565" t="s">
        <v>12</v>
      </c>
      <c r="O565" t="s">
        <v>299</v>
      </c>
      <c r="P565" t="s">
        <v>13</v>
      </c>
      <c r="Q565" t="s">
        <v>14</v>
      </c>
      <c r="R565" t="s">
        <v>371</v>
      </c>
      <c r="S565" t="s">
        <v>7</v>
      </c>
      <c r="T565" t="s">
        <v>334</v>
      </c>
      <c r="U565">
        <f>Sales_Order[[#This Row],[Quantity ordered]]*Sales_Order[[#This Row],[Price each]]</f>
        <v>2341.1999999999998</v>
      </c>
    </row>
    <row r="566" spans="1:21" x14ac:dyDescent="0.3">
      <c r="A566">
        <v>10204</v>
      </c>
      <c r="B566">
        <v>29</v>
      </c>
      <c r="C566">
        <v>85.59</v>
      </c>
      <c r="D566">
        <v>5</v>
      </c>
      <c r="E566" s="1">
        <v>37664</v>
      </c>
      <c r="F566" t="s">
        <v>0</v>
      </c>
      <c r="G566">
        <v>4</v>
      </c>
      <c r="H566">
        <v>2003</v>
      </c>
      <c r="I566" t="s">
        <v>49</v>
      </c>
      <c r="J566" t="s">
        <v>78</v>
      </c>
      <c r="K566" t="s">
        <v>36</v>
      </c>
      <c r="L566" t="s">
        <v>37</v>
      </c>
      <c r="M566" t="s">
        <v>3</v>
      </c>
      <c r="N566" t="s">
        <v>4</v>
      </c>
      <c r="O566" t="s">
        <v>135</v>
      </c>
      <c r="P566" t="s">
        <v>5</v>
      </c>
      <c r="Q566" t="s">
        <v>6</v>
      </c>
      <c r="R566" t="s">
        <v>366</v>
      </c>
      <c r="S566" t="s">
        <v>7</v>
      </c>
      <c r="T566" t="s">
        <v>336</v>
      </c>
      <c r="U566">
        <f>Sales_Order[[#This Row],[Quantity ordered]]*Sales_Order[[#This Row],[Price each]]</f>
        <v>2482.11</v>
      </c>
    </row>
    <row r="567" spans="1:21" x14ac:dyDescent="0.3">
      <c r="A567">
        <v>10367</v>
      </c>
      <c r="B567">
        <v>43</v>
      </c>
      <c r="C567">
        <v>62.72</v>
      </c>
      <c r="D567">
        <v>8</v>
      </c>
      <c r="E567" s="1">
        <v>38687</v>
      </c>
      <c r="F567" t="s">
        <v>276</v>
      </c>
      <c r="G567">
        <v>1</v>
      </c>
      <c r="H567">
        <v>2005</v>
      </c>
      <c r="I567" t="s">
        <v>49</v>
      </c>
      <c r="J567" t="s">
        <v>78</v>
      </c>
      <c r="K567" t="s">
        <v>158</v>
      </c>
      <c r="L567" t="s">
        <v>159</v>
      </c>
      <c r="M567" t="s">
        <v>160</v>
      </c>
      <c r="N567" t="s">
        <v>161</v>
      </c>
      <c r="O567" t="s">
        <v>162</v>
      </c>
      <c r="P567" t="s">
        <v>5</v>
      </c>
      <c r="Q567" t="s">
        <v>6</v>
      </c>
      <c r="R567" t="s">
        <v>321</v>
      </c>
      <c r="S567" t="s">
        <v>7</v>
      </c>
      <c r="T567" t="s">
        <v>345</v>
      </c>
      <c r="U567">
        <f>Sales_Order[[#This Row],[Quantity ordered]]*Sales_Order[[#This Row],[Price each]]</f>
        <v>2696.96</v>
      </c>
    </row>
    <row r="568" spans="1:21" x14ac:dyDescent="0.3">
      <c r="A568">
        <v>10407</v>
      </c>
      <c r="B568">
        <v>6</v>
      </c>
      <c r="C568">
        <v>90.19</v>
      </c>
      <c r="D568">
        <v>3</v>
      </c>
      <c r="E568" s="1">
        <v>38464</v>
      </c>
      <c r="F568" t="s">
        <v>275</v>
      </c>
      <c r="G568">
        <v>2</v>
      </c>
      <c r="H568">
        <v>2005</v>
      </c>
      <c r="I568" t="s">
        <v>49</v>
      </c>
      <c r="J568" t="s">
        <v>78</v>
      </c>
      <c r="K568" t="s">
        <v>272</v>
      </c>
      <c r="L568" t="s">
        <v>273</v>
      </c>
      <c r="M568" t="s">
        <v>274</v>
      </c>
      <c r="N568" t="s">
        <v>161</v>
      </c>
      <c r="O568" t="s">
        <v>166</v>
      </c>
      <c r="P568" t="s">
        <v>5</v>
      </c>
      <c r="Q568" t="s">
        <v>6</v>
      </c>
      <c r="R568" t="s">
        <v>363</v>
      </c>
      <c r="S568" t="s">
        <v>7</v>
      </c>
      <c r="T568" t="s">
        <v>327</v>
      </c>
      <c r="U568">
        <f>Sales_Order[[#This Row],[Quantity ordered]]*Sales_Order[[#This Row],[Price each]]</f>
        <v>541.14</v>
      </c>
    </row>
    <row r="569" spans="1:21" x14ac:dyDescent="0.3">
      <c r="A569">
        <v>10420</v>
      </c>
      <c r="B569">
        <v>66</v>
      </c>
      <c r="C569">
        <v>92.95</v>
      </c>
      <c r="D569">
        <v>6</v>
      </c>
      <c r="E569" s="1">
        <v>38501</v>
      </c>
      <c r="F569" t="s">
        <v>29</v>
      </c>
      <c r="G569">
        <v>2</v>
      </c>
      <c r="H569">
        <v>2005</v>
      </c>
      <c r="I569" t="s">
        <v>49</v>
      </c>
      <c r="J569" t="s">
        <v>78</v>
      </c>
      <c r="K569" t="s">
        <v>18</v>
      </c>
      <c r="L569" t="s">
        <v>19</v>
      </c>
      <c r="M569" t="s">
        <v>20</v>
      </c>
      <c r="N569" t="s">
        <v>21</v>
      </c>
      <c r="O569" t="s">
        <v>136</v>
      </c>
      <c r="P569" t="s">
        <v>13</v>
      </c>
      <c r="Q569" t="s">
        <v>14</v>
      </c>
      <c r="R569" t="s">
        <v>335</v>
      </c>
      <c r="S569" t="s">
        <v>8</v>
      </c>
      <c r="T569" t="s">
        <v>329</v>
      </c>
      <c r="U569">
        <f>Sales_Order[[#This Row],[Quantity ordered]]*Sales_Order[[#This Row],[Price each]]</f>
        <v>6134.7</v>
      </c>
    </row>
    <row r="570" spans="1:21" x14ac:dyDescent="0.3">
      <c r="A570">
        <v>10142</v>
      </c>
      <c r="B570">
        <v>24</v>
      </c>
      <c r="C570">
        <v>70.22</v>
      </c>
      <c r="D570">
        <v>7</v>
      </c>
      <c r="E570" s="1">
        <v>37841</v>
      </c>
      <c r="F570" t="s">
        <v>0</v>
      </c>
      <c r="G570">
        <v>3</v>
      </c>
      <c r="H570">
        <v>2003</v>
      </c>
      <c r="I570" t="s">
        <v>49</v>
      </c>
      <c r="J570" t="s">
        <v>79</v>
      </c>
      <c r="K570" t="s">
        <v>225</v>
      </c>
      <c r="L570" t="s">
        <v>226</v>
      </c>
      <c r="M570" t="s">
        <v>227</v>
      </c>
      <c r="N570" t="s">
        <v>161</v>
      </c>
      <c r="O570" t="s">
        <v>177</v>
      </c>
      <c r="P570" t="s">
        <v>5</v>
      </c>
      <c r="Q570" t="s">
        <v>6</v>
      </c>
      <c r="R570" t="s">
        <v>349</v>
      </c>
      <c r="S570" t="s">
        <v>7</v>
      </c>
      <c r="T570" t="s">
        <v>322</v>
      </c>
      <c r="U570">
        <f>Sales_Order[[#This Row],[Quantity ordered]]*Sales_Order[[#This Row],[Price each]]</f>
        <v>1685.28</v>
      </c>
    </row>
    <row r="571" spans="1:21" x14ac:dyDescent="0.3">
      <c r="A571">
        <v>10166</v>
      </c>
      <c r="B571">
        <v>26</v>
      </c>
      <c r="C571">
        <v>73.73</v>
      </c>
      <c r="D571">
        <v>1</v>
      </c>
      <c r="E571" s="1">
        <v>37915</v>
      </c>
      <c r="F571" t="s">
        <v>0</v>
      </c>
      <c r="G571">
        <v>4</v>
      </c>
      <c r="H571">
        <v>2003</v>
      </c>
      <c r="I571" t="s">
        <v>49</v>
      </c>
      <c r="J571" t="s">
        <v>79</v>
      </c>
      <c r="K571" t="s">
        <v>189</v>
      </c>
      <c r="L571" t="s">
        <v>190</v>
      </c>
      <c r="M571" t="s">
        <v>191</v>
      </c>
      <c r="N571" t="s">
        <v>181</v>
      </c>
      <c r="O571" t="s">
        <v>192</v>
      </c>
      <c r="P571" t="s">
        <v>5</v>
      </c>
      <c r="Q571" t="s">
        <v>6</v>
      </c>
      <c r="R571" t="s">
        <v>337</v>
      </c>
      <c r="S571" t="s">
        <v>7</v>
      </c>
      <c r="T571" t="s">
        <v>324</v>
      </c>
      <c r="U571">
        <f>Sales_Order[[#This Row],[Quantity ordered]]*Sales_Order[[#This Row],[Price each]]</f>
        <v>1916.98</v>
      </c>
    </row>
    <row r="572" spans="1:21" x14ac:dyDescent="0.3">
      <c r="A572">
        <v>10185</v>
      </c>
      <c r="B572">
        <v>47</v>
      </c>
      <c r="C572">
        <v>77.239999999999995</v>
      </c>
      <c r="D572">
        <v>8</v>
      </c>
      <c r="E572" s="1">
        <v>37939</v>
      </c>
      <c r="F572" t="s">
        <v>0</v>
      </c>
      <c r="G572">
        <v>4</v>
      </c>
      <c r="H572">
        <v>2003</v>
      </c>
      <c r="I572" t="s">
        <v>49</v>
      </c>
      <c r="J572" t="s">
        <v>79</v>
      </c>
      <c r="K572" t="s">
        <v>252</v>
      </c>
      <c r="L572" t="s">
        <v>253</v>
      </c>
      <c r="M572" t="s">
        <v>191</v>
      </c>
      <c r="N572" t="s">
        <v>181</v>
      </c>
      <c r="O572" t="s">
        <v>192</v>
      </c>
      <c r="P572" t="s">
        <v>5</v>
      </c>
      <c r="Q572" t="s">
        <v>6</v>
      </c>
      <c r="R572" t="s">
        <v>357</v>
      </c>
      <c r="S572" t="s">
        <v>8</v>
      </c>
      <c r="T572" t="s">
        <v>334</v>
      </c>
      <c r="U572">
        <f>Sales_Order[[#This Row],[Quantity ordered]]*Sales_Order[[#This Row],[Price each]]</f>
        <v>3630.2799999999997</v>
      </c>
    </row>
    <row r="573" spans="1:21" x14ac:dyDescent="0.3">
      <c r="A573">
        <v>10232</v>
      </c>
      <c r="B573">
        <v>23</v>
      </c>
      <c r="C573">
        <v>89.53</v>
      </c>
      <c r="D573">
        <v>5</v>
      </c>
      <c r="E573" s="1">
        <v>38066</v>
      </c>
      <c r="F573" t="s">
        <v>0</v>
      </c>
      <c r="G573">
        <v>1</v>
      </c>
      <c r="H573">
        <v>2004</v>
      </c>
      <c r="I573" t="s">
        <v>49</v>
      </c>
      <c r="J573" t="s">
        <v>79</v>
      </c>
      <c r="K573" t="s">
        <v>267</v>
      </c>
      <c r="L573" t="s">
        <v>268</v>
      </c>
      <c r="M573" t="s">
        <v>269</v>
      </c>
      <c r="N573" t="s">
        <v>270</v>
      </c>
      <c r="O573" t="s">
        <v>271</v>
      </c>
      <c r="P573" t="s">
        <v>193</v>
      </c>
      <c r="Q573" t="s">
        <v>157</v>
      </c>
      <c r="R573" t="s">
        <v>362</v>
      </c>
      <c r="S573" t="s">
        <v>7</v>
      </c>
      <c r="T573" t="s">
        <v>338</v>
      </c>
      <c r="U573">
        <f>Sales_Order[[#This Row],[Quantity ordered]]*Sales_Order[[#This Row],[Price each]]</f>
        <v>2059.19</v>
      </c>
    </row>
    <row r="574" spans="1:21" x14ac:dyDescent="0.3">
      <c r="A574">
        <v>10248</v>
      </c>
      <c r="B574">
        <v>42</v>
      </c>
      <c r="C574">
        <v>75.48</v>
      </c>
      <c r="D574">
        <v>11</v>
      </c>
      <c r="E574" s="1">
        <v>38173</v>
      </c>
      <c r="F574" t="s">
        <v>254</v>
      </c>
      <c r="G574">
        <v>2</v>
      </c>
      <c r="H574">
        <v>2004</v>
      </c>
      <c r="I574" t="s">
        <v>49</v>
      </c>
      <c r="J574" t="s">
        <v>79</v>
      </c>
      <c r="K574" t="s">
        <v>155</v>
      </c>
      <c r="L574" t="s">
        <v>156</v>
      </c>
      <c r="M574" t="s">
        <v>3</v>
      </c>
      <c r="N574" t="s">
        <v>4</v>
      </c>
      <c r="O574" t="s">
        <v>135</v>
      </c>
      <c r="P574" t="s">
        <v>5</v>
      </c>
      <c r="Q574" t="s">
        <v>6</v>
      </c>
      <c r="R574" t="s">
        <v>319</v>
      </c>
      <c r="S574" t="s">
        <v>8</v>
      </c>
      <c r="T574" t="s">
        <v>329</v>
      </c>
      <c r="U574">
        <f>Sales_Order[[#This Row],[Quantity ordered]]*Sales_Order[[#This Row],[Price each]]</f>
        <v>3170.1600000000003</v>
      </c>
    </row>
    <row r="575" spans="1:21" x14ac:dyDescent="0.3">
      <c r="A575">
        <v>10261</v>
      </c>
      <c r="B575">
        <v>20</v>
      </c>
      <c r="C575">
        <v>89.53</v>
      </c>
      <c r="D575">
        <v>9</v>
      </c>
      <c r="E575" s="1">
        <v>38155</v>
      </c>
      <c r="F575" t="s">
        <v>0</v>
      </c>
      <c r="G575">
        <v>2</v>
      </c>
      <c r="H575">
        <v>2004</v>
      </c>
      <c r="I575" t="s">
        <v>49</v>
      </c>
      <c r="J575" t="s">
        <v>79</v>
      </c>
      <c r="K575" t="s">
        <v>237</v>
      </c>
      <c r="L575" t="s">
        <v>238</v>
      </c>
      <c r="M575" t="s">
        <v>239</v>
      </c>
      <c r="N575" t="s">
        <v>240</v>
      </c>
      <c r="O575" t="s">
        <v>241</v>
      </c>
      <c r="P575" t="s">
        <v>210</v>
      </c>
      <c r="Q575" t="s">
        <v>6</v>
      </c>
      <c r="R575" t="s">
        <v>353</v>
      </c>
      <c r="S575" t="s">
        <v>7</v>
      </c>
      <c r="T575" t="s">
        <v>331</v>
      </c>
      <c r="U575">
        <f>Sales_Order[[#This Row],[Quantity ordered]]*Sales_Order[[#This Row],[Price each]]</f>
        <v>1790.6</v>
      </c>
    </row>
    <row r="576" spans="1:21" x14ac:dyDescent="0.3">
      <c r="A576">
        <v>10283</v>
      </c>
      <c r="B576">
        <v>34</v>
      </c>
      <c r="C576">
        <v>100</v>
      </c>
      <c r="D576">
        <v>14</v>
      </c>
      <c r="E576" s="1">
        <v>38219</v>
      </c>
      <c r="F576" t="s">
        <v>0</v>
      </c>
      <c r="G576">
        <v>3</v>
      </c>
      <c r="H576">
        <v>2004</v>
      </c>
      <c r="I576" t="s">
        <v>49</v>
      </c>
      <c r="J576" t="s">
        <v>79</v>
      </c>
      <c r="K576" t="s">
        <v>259</v>
      </c>
      <c r="L576" t="s">
        <v>260</v>
      </c>
      <c r="M576" t="s">
        <v>261</v>
      </c>
      <c r="N576" t="s">
        <v>208</v>
      </c>
      <c r="O576" t="s">
        <v>262</v>
      </c>
      <c r="P576" t="s">
        <v>210</v>
      </c>
      <c r="Q576" t="s">
        <v>6</v>
      </c>
      <c r="R576" t="s">
        <v>359</v>
      </c>
      <c r="S576" t="s">
        <v>8</v>
      </c>
      <c r="T576" t="s">
        <v>322</v>
      </c>
      <c r="U576">
        <f>Sales_Order[[#This Row],[Quantity ordered]]*Sales_Order[[#This Row],[Price each]]</f>
        <v>3400</v>
      </c>
    </row>
    <row r="577" spans="1:21" x14ac:dyDescent="0.3">
      <c r="A577">
        <v>10337</v>
      </c>
      <c r="B577">
        <v>29</v>
      </c>
      <c r="C577">
        <v>100</v>
      </c>
      <c r="D577">
        <v>2</v>
      </c>
      <c r="E577" s="1">
        <v>38312</v>
      </c>
      <c r="F577" t="s">
        <v>0</v>
      </c>
      <c r="G577">
        <v>4</v>
      </c>
      <c r="H577">
        <v>2004</v>
      </c>
      <c r="I577" t="s">
        <v>49</v>
      </c>
      <c r="J577" t="s">
        <v>79</v>
      </c>
      <c r="K577" t="s">
        <v>24</v>
      </c>
      <c r="L577" t="s">
        <v>25</v>
      </c>
      <c r="M577" t="s">
        <v>3</v>
      </c>
      <c r="N577" t="s">
        <v>4</v>
      </c>
      <c r="O577" t="s">
        <v>135</v>
      </c>
      <c r="P577" t="s">
        <v>5</v>
      </c>
      <c r="Q577" t="s">
        <v>6</v>
      </c>
      <c r="R577" t="s">
        <v>340</v>
      </c>
      <c r="S577" t="s">
        <v>8</v>
      </c>
      <c r="T577" t="s">
        <v>334</v>
      </c>
      <c r="U577">
        <f>Sales_Order[[#This Row],[Quantity ordered]]*Sales_Order[[#This Row],[Price each]]</f>
        <v>2900</v>
      </c>
    </row>
    <row r="578" spans="1:21" x14ac:dyDescent="0.3">
      <c r="A578">
        <v>10372</v>
      </c>
      <c r="B578">
        <v>41</v>
      </c>
      <c r="C578">
        <v>86.89</v>
      </c>
      <c r="D578">
        <v>7</v>
      </c>
      <c r="E578" s="1">
        <v>38378</v>
      </c>
      <c r="F578" t="s">
        <v>0</v>
      </c>
      <c r="G578">
        <v>1</v>
      </c>
      <c r="H578">
        <v>2005</v>
      </c>
      <c r="I578" t="s">
        <v>49</v>
      </c>
      <c r="J578" t="s">
        <v>79</v>
      </c>
      <c r="K578" t="s">
        <v>220</v>
      </c>
      <c r="L578" t="s">
        <v>221</v>
      </c>
      <c r="M578" t="s">
        <v>222</v>
      </c>
      <c r="N578" t="s">
        <v>223</v>
      </c>
      <c r="O578" t="s">
        <v>224</v>
      </c>
      <c r="P578" t="s">
        <v>195</v>
      </c>
      <c r="Q578" t="s">
        <v>195</v>
      </c>
      <c r="R578" t="s">
        <v>348</v>
      </c>
      <c r="S578" t="s">
        <v>8</v>
      </c>
      <c r="T578" t="s">
        <v>345</v>
      </c>
      <c r="U578">
        <f>Sales_Order[[#This Row],[Quantity ordered]]*Sales_Order[[#This Row],[Price each]]</f>
        <v>3562.4900000000002</v>
      </c>
    </row>
    <row r="579" spans="1:21" x14ac:dyDescent="0.3">
      <c r="A579">
        <v>10396</v>
      </c>
      <c r="B579">
        <v>45</v>
      </c>
      <c r="C579">
        <v>100</v>
      </c>
      <c r="D579">
        <v>5</v>
      </c>
      <c r="E579" s="1">
        <v>38434</v>
      </c>
      <c r="F579" t="s">
        <v>0</v>
      </c>
      <c r="G579">
        <v>1</v>
      </c>
      <c r="H579">
        <v>2005</v>
      </c>
      <c r="I579" t="s">
        <v>49</v>
      </c>
      <c r="J579" t="s">
        <v>79</v>
      </c>
      <c r="K579" t="s">
        <v>225</v>
      </c>
      <c r="L579" t="s">
        <v>226</v>
      </c>
      <c r="M579" t="s">
        <v>227</v>
      </c>
      <c r="N579" t="s">
        <v>161</v>
      </c>
      <c r="O579" t="s">
        <v>177</v>
      </c>
      <c r="P579" t="s">
        <v>5</v>
      </c>
      <c r="Q579" t="s">
        <v>6</v>
      </c>
      <c r="R579" t="s">
        <v>349</v>
      </c>
      <c r="S579" t="s">
        <v>8</v>
      </c>
      <c r="T579" t="s">
        <v>338</v>
      </c>
      <c r="U579">
        <f>Sales_Order[[#This Row],[Quantity ordered]]*Sales_Order[[#This Row],[Price each]]</f>
        <v>4500</v>
      </c>
    </row>
    <row r="580" spans="1:21" x14ac:dyDescent="0.3">
      <c r="A580">
        <v>10414</v>
      </c>
      <c r="B580">
        <v>16</v>
      </c>
      <c r="C580">
        <v>75.48</v>
      </c>
      <c r="D580">
        <v>11</v>
      </c>
      <c r="E580" s="1">
        <v>38508</v>
      </c>
      <c r="F580" t="s">
        <v>275</v>
      </c>
      <c r="G580">
        <v>2</v>
      </c>
      <c r="H580">
        <v>2005</v>
      </c>
      <c r="I580" t="s">
        <v>49</v>
      </c>
      <c r="J580" t="s">
        <v>79</v>
      </c>
      <c r="K580" t="s">
        <v>263</v>
      </c>
      <c r="L580" t="s">
        <v>264</v>
      </c>
      <c r="M580" t="s">
        <v>265</v>
      </c>
      <c r="N580" t="s">
        <v>181</v>
      </c>
      <c r="O580" t="s">
        <v>266</v>
      </c>
      <c r="P580" t="s">
        <v>5</v>
      </c>
      <c r="Q580" t="s">
        <v>6</v>
      </c>
      <c r="R580" t="s">
        <v>360</v>
      </c>
      <c r="S580" t="s">
        <v>7</v>
      </c>
      <c r="T580" t="s">
        <v>329</v>
      </c>
      <c r="U580">
        <f>Sales_Order[[#This Row],[Quantity ordered]]*Sales_Order[[#This Row],[Price each]]</f>
        <v>1207.68</v>
      </c>
    </row>
    <row r="581" spans="1:21" x14ac:dyDescent="0.3">
      <c r="A581">
        <v>10140</v>
      </c>
      <c r="B581">
        <v>40</v>
      </c>
      <c r="C581">
        <v>100</v>
      </c>
      <c r="D581">
        <v>5</v>
      </c>
      <c r="E581" s="1">
        <v>37826</v>
      </c>
      <c r="F581" t="s">
        <v>0</v>
      </c>
      <c r="G581">
        <v>3</v>
      </c>
      <c r="H581">
        <v>2003</v>
      </c>
      <c r="I581" t="s">
        <v>38</v>
      </c>
      <c r="J581" t="s">
        <v>80</v>
      </c>
      <c r="K581" t="s">
        <v>163</v>
      </c>
      <c r="L581" t="s">
        <v>164</v>
      </c>
      <c r="M581" t="s">
        <v>165</v>
      </c>
      <c r="N581" t="s">
        <v>161</v>
      </c>
      <c r="O581" t="s">
        <v>166</v>
      </c>
      <c r="P581" t="s">
        <v>5</v>
      </c>
      <c r="Q581" t="s">
        <v>6</v>
      </c>
      <c r="R581" t="s">
        <v>323</v>
      </c>
      <c r="S581" t="s">
        <v>8</v>
      </c>
      <c r="T581" t="s">
        <v>339</v>
      </c>
      <c r="U581">
        <f>Sales_Order[[#This Row],[Quantity ordered]]*Sales_Order[[#This Row],[Price each]]</f>
        <v>4000</v>
      </c>
    </row>
    <row r="582" spans="1:21" x14ac:dyDescent="0.3">
      <c r="A582">
        <v>10183</v>
      </c>
      <c r="B582">
        <v>21</v>
      </c>
      <c r="C582">
        <v>100</v>
      </c>
      <c r="D582">
        <v>2</v>
      </c>
      <c r="E582" s="1">
        <v>37938</v>
      </c>
      <c r="F582" t="s">
        <v>0</v>
      </c>
      <c r="G582">
        <v>4</v>
      </c>
      <c r="H582">
        <v>2003</v>
      </c>
      <c r="I582" t="s">
        <v>38</v>
      </c>
      <c r="J582" t="s">
        <v>80</v>
      </c>
      <c r="K582" t="s">
        <v>201</v>
      </c>
      <c r="L582" t="s">
        <v>202</v>
      </c>
      <c r="M582" t="s">
        <v>203</v>
      </c>
      <c r="N582" t="s">
        <v>186</v>
      </c>
      <c r="O582" t="s">
        <v>204</v>
      </c>
      <c r="P582" t="s">
        <v>5</v>
      </c>
      <c r="Q582" t="s">
        <v>6</v>
      </c>
      <c r="R582" t="s">
        <v>342</v>
      </c>
      <c r="S582" t="s">
        <v>7</v>
      </c>
      <c r="T582" t="s">
        <v>334</v>
      </c>
      <c r="U582">
        <f>Sales_Order[[#This Row],[Quantity ordered]]*Sales_Order[[#This Row],[Price each]]</f>
        <v>2100</v>
      </c>
    </row>
    <row r="583" spans="1:21" x14ac:dyDescent="0.3">
      <c r="A583">
        <v>10207</v>
      </c>
      <c r="B583">
        <v>47</v>
      </c>
      <c r="C583">
        <v>100</v>
      </c>
      <c r="D583">
        <v>16</v>
      </c>
      <c r="E583" s="1">
        <v>37876</v>
      </c>
      <c r="F583" t="s">
        <v>0</v>
      </c>
      <c r="G583">
        <v>4</v>
      </c>
      <c r="H583">
        <v>2003</v>
      </c>
      <c r="I583" t="s">
        <v>38</v>
      </c>
      <c r="J583" t="s">
        <v>80</v>
      </c>
      <c r="K583" t="s">
        <v>277</v>
      </c>
      <c r="L583" t="s">
        <v>278</v>
      </c>
      <c r="M583" t="s">
        <v>265</v>
      </c>
      <c r="N583" t="s">
        <v>181</v>
      </c>
      <c r="O583" t="s">
        <v>266</v>
      </c>
      <c r="P583" t="s">
        <v>5</v>
      </c>
      <c r="Q583" t="s">
        <v>6</v>
      </c>
      <c r="R583" t="s">
        <v>364</v>
      </c>
      <c r="S583" t="s">
        <v>8</v>
      </c>
      <c r="T583" t="s">
        <v>336</v>
      </c>
      <c r="U583">
        <f>Sales_Order[[#This Row],[Quantity ordered]]*Sales_Order[[#This Row],[Price each]]</f>
        <v>4700</v>
      </c>
    </row>
    <row r="584" spans="1:21" x14ac:dyDescent="0.3">
      <c r="A584">
        <v>10229</v>
      </c>
      <c r="B584">
        <v>41</v>
      </c>
      <c r="C584">
        <v>100</v>
      </c>
      <c r="D584">
        <v>10</v>
      </c>
      <c r="E584" s="1">
        <v>38294</v>
      </c>
      <c r="F584" t="s">
        <v>0</v>
      </c>
      <c r="G584">
        <v>1</v>
      </c>
      <c r="H584">
        <v>2004</v>
      </c>
      <c r="I584" t="s">
        <v>38</v>
      </c>
      <c r="J584" t="s">
        <v>80</v>
      </c>
      <c r="K584" t="s">
        <v>225</v>
      </c>
      <c r="L584" t="s">
        <v>226</v>
      </c>
      <c r="M584" t="s">
        <v>227</v>
      </c>
      <c r="N584" t="s">
        <v>161</v>
      </c>
      <c r="O584" t="s">
        <v>177</v>
      </c>
      <c r="P584" t="s">
        <v>5</v>
      </c>
      <c r="Q584" t="s">
        <v>6</v>
      </c>
      <c r="R584" t="s">
        <v>349</v>
      </c>
      <c r="S584" t="s">
        <v>8</v>
      </c>
      <c r="T584" t="s">
        <v>338</v>
      </c>
      <c r="U584">
        <f>Sales_Order[[#This Row],[Quantity ordered]]*Sales_Order[[#This Row],[Price each]]</f>
        <v>4100</v>
      </c>
    </row>
    <row r="585" spans="1:21" x14ac:dyDescent="0.3">
      <c r="A585">
        <v>10245</v>
      </c>
      <c r="B585">
        <v>21</v>
      </c>
      <c r="C585">
        <v>100</v>
      </c>
      <c r="D585">
        <v>3</v>
      </c>
      <c r="E585" s="1">
        <v>38082</v>
      </c>
      <c r="F585" t="s">
        <v>0</v>
      </c>
      <c r="G585">
        <v>2</v>
      </c>
      <c r="H585">
        <v>2004</v>
      </c>
      <c r="I585" t="s">
        <v>38</v>
      </c>
      <c r="J585" t="s">
        <v>80</v>
      </c>
      <c r="K585" t="s">
        <v>216</v>
      </c>
      <c r="L585" t="s">
        <v>217</v>
      </c>
      <c r="M585" t="s">
        <v>218</v>
      </c>
      <c r="N585" t="s">
        <v>176</v>
      </c>
      <c r="O585" t="s">
        <v>219</v>
      </c>
      <c r="P585" t="s">
        <v>5</v>
      </c>
      <c r="Q585" t="s">
        <v>6</v>
      </c>
      <c r="R585" t="s">
        <v>347</v>
      </c>
      <c r="S585" t="s">
        <v>7</v>
      </c>
      <c r="T585" t="s">
        <v>329</v>
      </c>
      <c r="U585">
        <f>Sales_Order[[#This Row],[Quantity ordered]]*Sales_Order[[#This Row],[Price each]]</f>
        <v>2100</v>
      </c>
    </row>
    <row r="586" spans="1:21" x14ac:dyDescent="0.3">
      <c r="A586">
        <v>10270</v>
      </c>
      <c r="B586">
        <v>38</v>
      </c>
      <c r="C586">
        <v>100</v>
      </c>
      <c r="D586">
        <v>3</v>
      </c>
      <c r="E586" s="1">
        <v>38187</v>
      </c>
      <c r="F586" t="s">
        <v>0</v>
      </c>
      <c r="G586">
        <v>3</v>
      </c>
      <c r="H586">
        <v>2004</v>
      </c>
      <c r="I586" t="s">
        <v>38</v>
      </c>
      <c r="J586" t="s">
        <v>80</v>
      </c>
      <c r="K586" t="s">
        <v>18</v>
      </c>
      <c r="L586" t="s">
        <v>19</v>
      </c>
      <c r="M586" t="s">
        <v>20</v>
      </c>
      <c r="N586" t="s">
        <v>21</v>
      </c>
      <c r="O586" t="s">
        <v>136</v>
      </c>
      <c r="P586" t="s">
        <v>13</v>
      </c>
      <c r="Q586" t="s">
        <v>14</v>
      </c>
      <c r="R586" t="s">
        <v>335</v>
      </c>
      <c r="S586" t="s">
        <v>8</v>
      </c>
      <c r="T586" t="s">
        <v>339</v>
      </c>
      <c r="U586">
        <f>Sales_Order[[#This Row],[Quantity ordered]]*Sales_Order[[#This Row],[Price each]]</f>
        <v>3800</v>
      </c>
    </row>
    <row r="587" spans="1:21" x14ac:dyDescent="0.3">
      <c r="A587">
        <v>10281</v>
      </c>
      <c r="B587">
        <v>25</v>
      </c>
      <c r="C587">
        <v>99.29</v>
      </c>
      <c r="D587">
        <v>10</v>
      </c>
      <c r="E587" s="1">
        <v>38218</v>
      </c>
      <c r="F587" t="s">
        <v>0</v>
      </c>
      <c r="G587">
        <v>3</v>
      </c>
      <c r="H587">
        <v>2004</v>
      </c>
      <c r="I587" t="s">
        <v>38</v>
      </c>
      <c r="J587" t="s">
        <v>80</v>
      </c>
      <c r="K587" t="s">
        <v>183</v>
      </c>
      <c r="L587" t="s">
        <v>184</v>
      </c>
      <c r="M587" t="s">
        <v>185</v>
      </c>
      <c r="N587" t="s">
        <v>186</v>
      </c>
      <c r="O587" t="s">
        <v>187</v>
      </c>
      <c r="P587" t="s">
        <v>5</v>
      </c>
      <c r="Q587" t="s">
        <v>6</v>
      </c>
      <c r="R587" t="s">
        <v>333</v>
      </c>
      <c r="S587" t="s">
        <v>7</v>
      </c>
      <c r="T587" t="s">
        <v>322</v>
      </c>
      <c r="U587">
        <f>Sales_Order[[#This Row],[Quantity ordered]]*Sales_Order[[#This Row],[Price each]]</f>
        <v>2482.25</v>
      </c>
    </row>
    <row r="588" spans="1:21" x14ac:dyDescent="0.3">
      <c r="A588">
        <v>10305</v>
      </c>
      <c r="B588">
        <v>22</v>
      </c>
      <c r="C588">
        <v>99.29</v>
      </c>
      <c r="D588">
        <v>14</v>
      </c>
      <c r="E588" s="1">
        <v>38273</v>
      </c>
      <c r="F588" t="s">
        <v>0</v>
      </c>
      <c r="G588">
        <v>4</v>
      </c>
      <c r="H588">
        <v>2004</v>
      </c>
      <c r="I588" t="s">
        <v>38</v>
      </c>
      <c r="J588" t="s">
        <v>80</v>
      </c>
      <c r="K588" t="s">
        <v>178</v>
      </c>
      <c r="L588" t="s">
        <v>179</v>
      </c>
      <c r="M588" t="s">
        <v>180</v>
      </c>
      <c r="N588" t="s">
        <v>181</v>
      </c>
      <c r="O588" t="s">
        <v>182</v>
      </c>
      <c r="P588" t="s">
        <v>5</v>
      </c>
      <c r="Q588" t="s">
        <v>6</v>
      </c>
      <c r="R588" t="s">
        <v>332</v>
      </c>
      <c r="S588" t="s">
        <v>7</v>
      </c>
      <c r="T588" t="s">
        <v>324</v>
      </c>
      <c r="U588">
        <f>Sales_Order[[#This Row],[Quantity ordered]]*Sales_Order[[#This Row],[Price each]]</f>
        <v>2184.38</v>
      </c>
    </row>
    <row r="589" spans="1:21" x14ac:dyDescent="0.3">
      <c r="A589">
        <v>10313</v>
      </c>
      <c r="B589">
        <v>28</v>
      </c>
      <c r="C589">
        <v>100</v>
      </c>
      <c r="D589">
        <v>8</v>
      </c>
      <c r="E589" s="1">
        <v>38282</v>
      </c>
      <c r="F589" t="s">
        <v>0</v>
      </c>
      <c r="G589">
        <v>4</v>
      </c>
      <c r="H589">
        <v>2004</v>
      </c>
      <c r="I589" t="s">
        <v>38</v>
      </c>
      <c r="J589" t="s">
        <v>80</v>
      </c>
      <c r="K589" t="s">
        <v>205</v>
      </c>
      <c r="L589" t="s">
        <v>206</v>
      </c>
      <c r="M589" t="s">
        <v>207</v>
      </c>
      <c r="N589" t="s">
        <v>208</v>
      </c>
      <c r="O589" t="s">
        <v>209</v>
      </c>
      <c r="P589" t="s">
        <v>210</v>
      </c>
      <c r="Q589" t="s">
        <v>6</v>
      </c>
      <c r="R589" t="s">
        <v>343</v>
      </c>
      <c r="S589" t="s">
        <v>7</v>
      </c>
      <c r="T589" t="s">
        <v>324</v>
      </c>
      <c r="U589">
        <f>Sales_Order[[#This Row],[Quantity ordered]]*Sales_Order[[#This Row],[Price each]]</f>
        <v>2800</v>
      </c>
    </row>
    <row r="590" spans="1:21" x14ac:dyDescent="0.3">
      <c r="A590">
        <v>10347</v>
      </c>
      <c r="B590">
        <v>45</v>
      </c>
      <c r="C590">
        <v>100</v>
      </c>
      <c r="D590">
        <v>4</v>
      </c>
      <c r="E590" s="1">
        <v>38320</v>
      </c>
      <c r="F590" t="s">
        <v>0</v>
      </c>
      <c r="G590">
        <v>4</v>
      </c>
      <c r="H590">
        <v>2004</v>
      </c>
      <c r="I590" t="s">
        <v>38</v>
      </c>
      <c r="J590" t="s">
        <v>80</v>
      </c>
      <c r="K590" t="s">
        <v>9</v>
      </c>
      <c r="L590" t="s">
        <v>10</v>
      </c>
      <c r="M590" t="s">
        <v>11</v>
      </c>
      <c r="N590" t="s">
        <v>12</v>
      </c>
      <c r="O590" t="s">
        <v>134</v>
      </c>
      <c r="P590" t="s">
        <v>13</v>
      </c>
      <c r="Q590" t="s">
        <v>14</v>
      </c>
      <c r="R590" t="s">
        <v>325</v>
      </c>
      <c r="S590" t="s">
        <v>8</v>
      </c>
      <c r="T590" t="s">
        <v>334</v>
      </c>
      <c r="U590">
        <f>Sales_Order[[#This Row],[Quantity ordered]]*Sales_Order[[#This Row],[Price each]]</f>
        <v>4500</v>
      </c>
    </row>
    <row r="591" spans="1:21" x14ac:dyDescent="0.3">
      <c r="A591">
        <v>10357</v>
      </c>
      <c r="B591">
        <v>28</v>
      </c>
      <c r="C591">
        <v>100</v>
      </c>
      <c r="D591">
        <v>2</v>
      </c>
      <c r="E591" s="1">
        <v>38272</v>
      </c>
      <c r="F591" t="s">
        <v>0</v>
      </c>
      <c r="G591">
        <v>4</v>
      </c>
      <c r="H591">
        <v>2004</v>
      </c>
      <c r="I591" t="s">
        <v>38</v>
      </c>
      <c r="J591" t="s">
        <v>80</v>
      </c>
      <c r="K591" t="s">
        <v>225</v>
      </c>
      <c r="L591" t="s">
        <v>226</v>
      </c>
      <c r="M591" t="s">
        <v>227</v>
      </c>
      <c r="N591" t="s">
        <v>161</v>
      </c>
      <c r="O591" t="s">
        <v>177</v>
      </c>
      <c r="P591" t="s">
        <v>5</v>
      </c>
      <c r="Q591" t="s">
        <v>6</v>
      </c>
      <c r="R591" t="s">
        <v>349</v>
      </c>
      <c r="S591" t="s">
        <v>8</v>
      </c>
      <c r="T591" t="s">
        <v>336</v>
      </c>
      <c r="U591">
        <f>Sales_Order[[#This Row],[Quantity ordered]]*Sales_Order[[#This Row],[Price each]]</f>
        <v>2800</v>
      </c>
    </row>
    <row r="592" spans="1:21" x14ac:dyDescent="0.3">
      <c r="A592">
        <v>10370</v>
      </c>
      <c r="B592">
        <v>29</v>
      </c>
      <c r="C592">
        <v>57.53</v>
      </c>
      <c r="D592">
        <v>6</v>
      </c>
      <c r="E592" s="1">
        <v>38372</v>
      </c>
      <c r="F592" t="s">
        <v>0</v>
      </c>
      <c r="G592">
        <v>1</v>
      </c>
      <c r="H592">
        <v>2005</v>
      </c>
      <c r="I592" t="s">
        <v>38</v>
      </c>
      <c r="J592" t="s">
        <v>80</v>
      </c>
      <c r="K592" t="s">
        <v>26</v>
      </c>
      <c r="L592" t="s">
        <v>27</v>
      </c>
      <c r="M592" t="s">
        <v>28</v>
      </c>
      <c r="N592" t="s">
        <v>21</v>
      </c>
      <c r="O592" t="s">
        <v>137</v>
      </c>
      <c r="P592" t="s">
        <v>13</v>
      </c>
      <c r="Q592" t="s">
        <v>14</v>
      </c>
      <c r="R592" t="s">
        <v>352</v>
      </c>
      <c r="S592" t="s">
        <v>7</v>
      </c>
      <c r="T592" t="s">
        <v>345</v>
      </c>
      <c r="U592">
        <f>Sales_Order[[#This Row],[Quantity ordered]]*Sales_Order[[#This Row],[Price each]]</f>
        <v>1668.3700000000001</v>
      </c>
    </row>
    <row r="593" spans="1:21" x14ac:dyDescent="0.3">
      <c r="A593">
        <v>10382</v>
      </c>
      <c r="B593">
        <v>39</v>
      </c>
      <c r="C593">
        <v>100</v>
      </c>
      <c r="D593">
        <v>1</v>
      </c>
      <c r="E593" s="1">
        <v>38400</v>
      </c>
      <c r="F593" t="s">
        <v>0</v>
      </c>
      <c r="G593">
        <v>1</v>
      </c>
      <c r="H593">
        <v>2005</v>
      </c>
      <c r="I593" t="s">
        <v>38</v>
      </c>
      <c r="J593" t="s">
        <v>80</v>
      </c>
      <c r="K593" t="s">
        <v>225</v>
      </c>
      <c r="L593" t="s">
        <v>226</v>
      </c>
      <c r="M593" t="s">
        <v>227</v>
      </c>
      <c r="N593" t="s">
        <v>161</v>
      </c>
      <c r="O593" t="s">
        <v>177</v>
      </c>
      <c r="P593" t="s">
        <v>5</v>
      </c>
      <c r="Q593" t="s">
        <v>6</v>
      </c>
      <c r="R593" t="s">
        <v>349</v>
      </c>
      <c r="S593" t="s">
        <v>8</v>
      </c>
      <c r="T593" t="s">
        <v>320</v>
      </c>
      <c r="U593">
        <f>Sales_Order[[#This Row],[Quantity ordered]]*Sales_Order[[#This Row],[Price each]]</f>
        <v>3900</v>
      </c>
    </row>
    <row r="594" spans="1:21" x14ac:dyDescent="0.3">
      <c r="A594">
        <v>10411</v>
      </c>
      <c r="B594">
        <v>46</v>
      </c>
      <c r="C594">
        <v>100</v>
      </c>
      <c r="D594">
        <v>3</v>
      </c>
      <c r="E594" s="1">
        <v>38357</v>
      </c>
      <c r="F594" t="s">
        <v>0</v>
      </c>
      <c r="G594">
        <v>2</v>
      </c>
      <c r="H594">
        <v>2005</v>
      </c>
      <c r="I594" t="s">
        <v>38</v>
      </c>
      <c r="J594" t="s">
        <v>80</v>
      </c>
      <c r="K594" t="s">
        <v>237</v>
      </c>
      <c r="L594" t="s">
        <v>238</v>
      </c>
      <c r="M594" t="s">
        <v>239</v>
      </c>
      <c r="N594" t="s">
        <v>240</v>
      </c>
      <c r="O594" t="s">
        <v>241</v>
      </c>
      <c r="P594" t="s">
        <v>210</v>
      </c>
      <c r="Q594" t="s">
        <v>6</v>
      </c>
      <c r="R594" t="s">
        <v>353</v>
      </c>
      <c r="S594" t="s">
        <v>8</v>
      </c>
      <c r="T594" t="s">
        <v>329</v>
      </c>
      <c r="U594">
        <f>Sales_Order[[#This Row],[Quantity ordered]]*Sales_Order[[#This Row],[Price each]]</f>
        <v>4600</v>
      </c>
    </row>
    <row r="595" spans="1:21" x14ac:dyDescent="0.3">
      <c r="A595">
        <v>10113</v>
      </c>
      <c r="B595">
        <v>50</v>
      </c>
      <c r="C595">
        <v>49.81</v>
      </c>
      <c r="D595">
        <v>3</v>
      </c>
      <c r="E595" s="1">
        <v>37706</v>
      </c>
      <c r="F595" t="s">
        <v>0</v>
      </c>
      <c r="G595">
        <v>1</v>
      </c>
      <c r="H595">
        <v>2003</v>
      </c>
      <c r="I595" t="s">
        <v>49</v>
      </c>
      <c r="J595" t="s">
        <v>81</v>
      </c>
      <c r="K595" t="s">
        <v>225</v>
      </c>
      <c r="L595" t="s">
        <v>226</v>
      </c>
      <c r="M595" t="s">
        <v>227</v>
      </c>
      <c r="N595" t="s">
        <v>161</v>
      </c>
      <c r="O595" t="s">
        <v>177</v>
      </c>
      <c r="P595" t="s">
        <v>5</v>
      </c>
      <c r="Q595" t="s">
        <v>6</v>
      </c>
      <c r="R595" t="s">
        <v>349</v>
      </c>
      <c r="S595" t="s">
        <v>7</v>
      </c>
      <c r="T595" t="s">
        <v>338</v>
      </c>
      <c r="U595">
        <f>Sales_Order[[#This Row],[Quantity ordered]]*Sales_Order[[#This Row],[Price each]]</f>
        <v>2490.5</v>
      </c>
    </row>
    <row r="596" spans="1:21" x14ac:dyDescent="0.3">
      <c r="A596">
        <v>10140</v>
      </c>
      <c r="B596">
        <v>29</v>
      </c>
      <c r="C596">
        <v>43.27</v>
      </c>
      <c r="D596">
        <v>9</v>
      </c>
      <c r="E596" s="1">
        <v>37826</v>
      </c>
      <c r="F596" t="s">
        <v>0</v>
      </c>
      <c r="G596">
        <v>3</v>
      </c>
      <c r="H596">
        <v>2003</v>
      </c>
      <c r="I596" t="s">
        <v>49</v>
      </c>
      <c r="J596" t="s">
        <v>81</v>
      </c>
      <c r="K596" t="s">
        <v>163</v>
      </c>
      <c r="L596" t="s">
        <v>164</v>
      </c>
      <c r="M596" t="s">
        <v>165</v>
      </c>
      <c r="N596" t="s">
        <v>161</v>
      </c>
      <c r="O596" t="s">
        <v>166</v>
      </c>
      <c r="P596" t="s">
        <v>5</v>
      </c>
      <c r="Q596" t="s">
        <v>6</v>
      </c>
      <c r="R596" t="s">
        <v>323</v>
      </c>
      <c r="S596" t="s">
        <v>7</v>
      </c>
      <c r="T596" t="s">
        <v>339</v>
      </c>
      <c r="U596">
        <f>Sales_Order[[#This Row],[Quantity ordered]]*Sales_Order[[#This Row],[Price each]]</f>
        <v>1254.8300000000002</v>
      </c>
    </row>
    <row r="597" spans="1:21" x14ac:dyDescent="0.3">
      <c r="A597">
        <v>10174</v>
      </c>
      <c r="B597">
        <v>49</v>
      </c>
      <c r="C597">
        <v>44.78</v>
      </c>
      <c r="D597">
        <v>2</v>
      </c>
      <c r="E597" s="1">
        <v>37783</v>
      </c>
      <c r="F597" t="s">
        <v>0</v>
      </c>
      <c r="G597">
        <v>4</v>
      </c>
      <c r="H597">
        <v>2003</v>
      </c>
      <c r="I597" t="s">
        <v>49</v>
      </c>
      <c r="J597" t="s">
        <v>81</v>
      </c>
      <c r="K597" t="s">
        <v>196</v>
      </c>
      <c r="L597" t="s">
        <v>197</v>
      </c>
      <c r="M597" t="s">
        <v>198</v>
      </c>
      <c r="N597" t="s">
        <v>199</v>
      </c>
      <c r="O597" t="s">
        <v>200</v>
      </c>
      <c r="P597" t="s">
        <v>13</v>
      </c>
      <c r="Q597" t="s">
        <v>14</v>
      </c>
      <c r="R597" t="s">
        <v>341</v>
      </c>
      <c r="S597" t="s">
        <v>7</v>
      </c>
      <c r="T597" t="s">
        <v>334</v>
      </c>
      <c r="U597">
        <f>Sales_Order[[#This Row],[Quantity ordered]]*Sales_Order[[#This Row],[Price each]]</f>
        <v>2194.2200000000003</v>
      </c>
    </row>
    <row r="598" spans="1:21" x14ac:dyDescent="0.3">
      <c r="A598">
        <v>10183</v>
      </c>
      <c r="B598">
        <v>40</v>
      </c>
      <c r="C598">
        <v>49.3</v>
      </c>
      <c r="D598">
        <v>6</v>
      </c>
      <c r="E598" s="1">
        <v>37938</v>
      </c>
      <c r="F598" t="s">
        <v>0</v>
      </c>
      <c r="G598">
        <v>4</v>
      </c>
      <c r="H598">
        <v>2003</v>
      </c>
      <c r="I598" t="s">
        <v>49</v>
      </c>
      <c r="J598" t="s">
        <v>81</v>
      </c>
      <c r="K598" t="s">
        <v>201</v>
      </c>
      <c r="L598" t="s">
        <v>202</v>
      </c>
      <c r="M598" t="s">
        <v>203</v>
      </c>
      <c r="N598" t="s">
        <v>186</v>
      </c>
      <c r="O598" t="s">
        <v>204</v>
      </c>
      <c r="P598" t="s">
        <v>5</v>
      </c>
      <c r="Q598" t="s">
        <v>6</v>
      </c>
      <c r="R598" t="s">
        <v>342</v>
      </c>
      <c r="S598" t="s">
        <v>7</v>
      </c>
      <c r="T598" t="s">
        <v>334</v>
      </c>
      <c r="U598">
        <f>Sales_Order[[#This Row],[Quantity ordered]]*Sales_Order[[#This Row],[Price each]]</f>
        <v>1972</v>
      </c>
    </row>
    <row r="599" spans="1:21" x14ac:dyDescent="0.3">
      <c r="A599">
        <v>10206</v>
      </c>
      <c r="B599">
        <v>21</v>
      </c>
      <c r="C599">
        <v>53.33</v>
      </c>
      <c r="D599">
        <v>4</v>
      </c>
      <c r="E599" s="1">
        <v>37753</v>
      </c>
      <c r="F599" t="s">
        <v>0</v>
      </c>
      <c r="G599">
        <v>4</v>
      </c>
      <c r="H599">
        <v>2003</v>
      </c>
      <c r="I599" t="s">
        <v>49</v>
      </c>
      <c r="J599" t="s">
        <v>81</v>
      </c>
      <c r="K599" t="s">
        <v>205</v>
      </c>
      <c r="L599" t="s">
        <v>206</v>
      </c>
      <c r="M599" t="s">
        <v>207</v>
      </c>
      <c r="N599" t="s">
        <v>208</v>
      </c>
      <c r="O599" t="s">
        <v>209</v>
      </c>
      <c r="P599" t="s">
        <v>210</v>
      </c>
      <c r="Q599" t="s">
        <v>6</v>
      </c>
      <c r="R599" t="s">
        <v>343</v>
      </c>
      <c r="S599" t="s">
        <v>7</v>
      </c>
      <c r="T599" t="s">
        <v>336</v>
      </c>
      <c r="U599">
        <f>Sales_Order[[#This Row],[Quantity ordered]]*Sales_Order[[#This Row],[Price each]]</f>
        <v>1119.93</v>
      </c>
    </row>
    <row r="600" spans="1:21" x14ac:dyDescent="0.3">
      <c r="A600">
        <v>10215</v>
      </c>
      <c r="B600">
        <v>46</v>
      </c>
      <c r="C600">
        <v>45.28</v>
      </c>
      <c r="D600">
        <v>1</v>
      </c>
      <c r="E600" s="1">
        <v>38015</v>
      </c>
      <c r="F600" t="s">
        <v>0</v>
      </c>
      <c r="G600">
        <v>1</v>
      </c>
      <c r="H600">
        <v>2004</v>
      </c>
      <c r="I600" t="s">
        <v>49</v>
      </c>
      <c r="J600" t="s">
        <v>81</v>
      </c>
      <c r="K600" t="s">
        <v>211</v>
      </c>
      <c r="L600" t="s">
        <v>212</v>
      </c>
      <c r="M600" t="s">
        <v>213</v>
      </c>
      <c r="N600" t="s">
        <v>161</v>
      </c>
      <c r="O600" t="s">
        <v>172</v>
      </c>
      <c r="P600" t="s">
        <v>5</v>
      </c>
      <c r="Q600" t="s">
        <v>6</v>
      </c>
      <c r="R600" t="s">
        <v>344</v>
      </c>
      <c r="S600" t="s">
        <v>7</v>
      </c>
      <c r="T600" t="s">
        <v>345</v>
      </c>
      <c r="U600">
        <f>Sales_Order[[#This Row],[Quantity ordered]]*Sales_Order[[#This Row],[Price each]]</f>
        <v>2082.88</v>
      </c>
    </row>
    <row r="601" spans="1:21" x14ac:dyDescent="0.3">
      <c r="A601">
        <v>10229</v>
      </c>
      <c r="B601">
        <v>39</v>
      </c>
      <c r="C601">
        <v>40.25</v>
      </c>
      <c r="D601">
        <v>14</v>
      </c>
      <c r="E601" s="1">
        <v>38294</v>
      </c>
      <c r="F601" t="s">
        <v>0</v>
      </c>
      <c r="G601">
        <v>1</v>
      </c>
      <c r="H601">
        <v>2004</v>
      </c>
      <c r="I601" t="s">
        <v>49</v>
      </c>
      <c r="J601" t="s">
        <v>81</v>
      </c>
      <c r="K601" t="s">
        <v>225</v>
      </c>
      <c r="L601" t="s">
        <v>226</v>
      </c>
      <c r="M601" t="s">
        <v>227</v>
      </c>
      <c r="N601" t="s">
        <v>161</v>
      </c>
      <c r="O601" t="s">
        <v>177</v>
      </c>
      <c r="P601" t="s">
        <v>5</v>
      </c>
      <c r="Q601" t="s">
        <v>6</v>
      </c>
      <c r="R601" t="s">
        <v>349</v>
      </c>
      <c r="S601" t="s">
        <v>7</v>
      </c>
      <c r="T601" t="s">
        <v>338</v>
      </c>
      <c r="U601">
        <f>Sales_Order[[#This Row],[Quantity ordered]]*Sales_Order[[#This Row],[Price each]]</f>
        <v>1569.75</v>
      </c>
    </row>
    <row r="602" spans="1:21" x14ac:dyDescent="0.3">
      <c r="A602">
        <v>10245</v>
      </c>
      <c r="B602">
        <v>45</v>
      </c>
      <c r="C602">
        <v>59.87</v>
      </c>
      <c r="D602">
        <v>7</v>
      </c>
      <c r="E602" s="1">
        <v>38082</v>
      </c>
      <c r="F602" t="s">
        <v>0</v>
      </c>
      <c r="G602">
        <v>2</v>
      </c>
      <c r="H602">
        <v>2004</v>
      </c>
      <c r="I602" t="s">
        <v>49</v>
      </c>
      <c r="J602" t="s">
        <v>81</v>
      </c>
      <c r="K602" t="s">
        <v>216</v>
      </c>
      <c r="L602" t="s">
        <v>217</v>
      </c>
      <c r="M602" t="s">
        <v>218</v>
      </c>
      <c r="N602" t="s">
        <v>176</v>
      </c>
      <c r="O602" t="s">
        <v>219</v>
      </c>
      <c r="P602" t="s">
        <v>5</v>
      </c>
      <c r="Q602" t="s">
        <v>6</v>
      </c>
      <c r="R602" t="s">
        <v>347</v>
      </c>
      <c r="S602" t="s">
        <v>7</v>
      </c>
      <c r="T602" t="s">
        <v>329</v>
      </c>
      <c r="U602">
        <f>Sales_Order[[#This Row],[Quantity ordered]]*Sales_Order[[#This Row],[Price each]]</f>
        <v>2694.15</v>
      </c>
    </row>
    <row r="603" spans="1:21" x14ac:dyDescent="0.3">
      <c r="A603">
        <v>10258</v>
      </c>
      <c r="B603">
        <v>21</v>
      </c>
      <c r="C603">
        <v>59.87</v>
      </c>
      <c r="D603">
        <v>4</v>
      </c>
      <c r="E603" s="1">
        <v>38153</v>
      </c>
      <c r="F603" t="s">
        <v>0</v>
      </c>
      <c r="G603">
        <v>2</v>
      </c>
      <c r="H603">
        <v>2004</v>
      </c>
      <c r="I603" t="s">
        <v>49</v>
      </c>
      <c r="J603" t="s">
        <v>81</v>
      </c>
      <c r="K603" t="s">
        <v>220</v>
      </c>
      <c r="L603" t="s">
        <v>221</v>
      </c>
      <c r="M603" t="s">
        <v>222</v>
      </c>
      <c r="N603" t="s">
        <v>223</v>
      </c>
      <c r="O603" t="s">
        <v>224</v>
      </c>
      <c r="P603" t="s">
        <v>195</v>
      </c>
      <c r="Q603" t="s">
        <v>195</v>
      </c>
      <c r="R603" t="s">
        <v>348</v>
      </c>
      <c r="S603" t="s">
        <v>7</v>
      </c>
      <c r="T603" t="s">
        <v>331</v>
      </c>
      <c r="U603">
        <f>Sales_Order[[#This Row],[Quantity ordered]]*Sales_Order[[#This Row],[Price each]]</f>
        <v>1257.27</v>
      </c>
    </row>
    <row r="604" spans="1:21" x14ac:dyDescent="0.3">
      <c r="A604">
        <v>10270</v>
      </c>
      <c r="B604">
        <v>44</v>
      </c>
      <c r="C604">
        <v>58.36</v>
      </c>
      <c r="D604">
        <v>7</v>
      </c>
      <c r="E604" s="1">
        <v>38187</v>
      </c>
      <c r="F604" t="s">
        <v>0</v>
      </c>
      <c r="G604">
        <v>3</v>
      </c>
      <c r="H604">
        <v>2004</v>
      </c>
      <c r="I604" t="s">
        <v>49</v>
      </c>
      <c r="J604" t="s">
        <v>81</v>
      </c>
      <c r="K604" t="s">
        <v>18</v>
      </c>
      <c r="L604" t="s">
        <v>19</v>
      </c>
      <c r="M604" t="s">
        <v>20</v>
      </c>
      <c r="N604" t="s">
        <v>21</v>
      </c>
      <c r="O604" t="s">
        <v>136</v>
      </c>
      <c r="P604" t="s">
        <v>13</v>
      </c>
      <c r="Q604" t="s">
        <v>14</v>
      </c>
      <c r="R604" t="s">
        <v>335</v>
      </c>
      <c r="S604" t="s">
        <v>7</v>
      </c>
      <c r="T604" t="s">
        <v>339</v>
      </c>
      <c r="U604">
        <f>Sales_Order[[#This Row],[Quantity ordered]]*Sales_Order[[#This Row],[Price each]]</f>
        <v>2567.84</v>
      </c>
    </row>
    <row r="605" spans="1:21" x14ac:dyDescent="0.3">
      <c r="A605">
        <v>10281</v>
      </c>
      <c r="B605">
        <v>44</v>
      </c>
      <c r="C605">
        <v>59.87</v>
      </c>
      <c r="D605">
        <v>14</v>
      </c>
      <c r="E605" s="1">
        <v>38218</v>
      </c>
      <c r="F605" t="s">
        <v>0</v>
      </c>
      <c r="G605">
        <v>3</v>
      </c>
      <c r="H605">
        <v>2004</v>
      </c>
      <c r="I605" t="s">
        <v>49</v>
      </c>
      <c r="J605" t="s">
        <v>81</v>
      </c>
      <c r="K605" t="s">
        <v>183</v>
      </c>
      <c r="L605" t="s">
        <v>184</v>
      </c>
      <c r="M605" t="s">
        <v>185</v>
      </c>
      <c r="N605" t="s">
        <v>186</v>
      </c>
      <c r="O605" t="s">
        <v>187</v>
      </c>
      <c r="P605" t="s">
        <v>5</v>
      </c>
      <c r="Q605" t="s">
        <v>6</v>
      </c>
      <c r="R605" t="s">
        <v>333</v>
      </c>
      <c r="S605" t="s">
        <v>7</v>
      </c>
      <c r="T605" t="s">
        <v>322</v>
      </c>
      <c r="U605">
        <f>Sales_Order[[#This Row],[Quantity ordered]]*Sales_Order[[#This Row],[Price each]]</f>
        <v>2634.2799999999997</v>
      </c>
    </row>
    <row r="606" spans="1:21" x14ac:dyDescent="0.3">
      <c r="A606">
        <v>10312</v>
      </c>
      <c r="B606">
        <v>39</v>
      </c>
      <c r="C606">
        <v>56.85</v>
      </c>
      <c r="D606">
        <v>1</v>
      </c>
      <c r="E606" s="1">
        <v>38281</v>
      </c>
      <c r="F606" t="s">
        <v>0</v>
      </c>
      <c r="G606">
        <v>4</v>
      </c>
      <c r="H606">
        <v>2004</v>
      </c>
      <c r="I606" t="s">
        <v>49</v>
      </c>
      <c r="J606" t="s">
        <v>81</v>
      </c>
      <c r="K606" t="s">
        <v>225</v>
      </c>
      <c r="L606" t="s">
        <v>226</v>
      </c>
      <c r="M606" t="s">
        <v>227</v>
      </c>
      <c r="N606" t="s">
        <v>161</v>
      </c>
      <c r="O606" t="s">
        <v>177</v>
      </c>
      <c r="P606" t="s">
        <v>5</v>
      </c>
      <c r="Q606" t="s">
        <v>6</v>
      </c>
      <c r="R606" t="s">
        <v>349</v>
      </c>
      <c r="S606" t="s">
        <v>7</v>
      </c>
      <c r="T606" t="s">
        <v>324</v>
      </c>
      <c r="U606">
        <f>Sales_Order[[#This Row],[Quantity ordered]]*Sales_Order[[#This Row],[Price each]]</f>
        <v>2217.15</v>
      </c>
    </row>
    <row r="607" spans="1:21" x14ac:dyDescent="0.3">
      <c r="A607">
        <v>10324</v>
      </c>
      <c r="B607">
        <v>38</v>
      </c>
      <c r="C607">
        <v>100</v>
      </c>
      <c r="D607">
        <v>6</v>
      </c>
      <c r="E607" s="1">
        <v>38118</v>
      </c>
      <c r="F607" t="s">
        <v>0</v>
      </c>
      <c r="G607">
        <v>4</v>
      </c>
      <c r="H607">
        <v>2004</v>
      </c>
      <c r="I607" t="s">
        <v>49</v>
      </c>
      <c r="J607" t="s">
        <v>81</v>
      </c>
      <c r="K607" t="s">
        <v>15</v>
      </c>
      <c r="L607" t="s">
        <v>16</v>
      </c>
      <c r="M607" t="s">
        <v>3</v>
      </c>
      <c r="N607" t="s">
        <v>4</v>
      </c>
      <c r="O607" t="s">
        <v>135</v>
      </c>
      <c r="P607" t="s">
        <v>5</v>
      </c>
      <c r="Q607" t="s">
        <v>6</v>
      </c>
      <c r="R607" t="s">
        <v>326</v>
      </c>
      <c r="S607" t="s">
        <v>8</v>
      </c>
      <c r="T607" t="s">
        <v>334</v>
      </c>
      <c r="U607">
        <f>Sales_Order[[#This Row],[Quantity ordered]]*Sales_Order[[#This Row],[Price each]]</f>
        <v>3800</v>
      </c>
    </row>
    <row r="608" spans="1:21" x14ac:dyDescent="0.3">
      <c r="A608">
        <v>10370</v>
      </c>
      <c r="B608">
        <v>20</v>
      </c>
      <c r="C608">
        <v>100</v>
      </c>
      <c r="D608">
        <v>2</v>
      </c>
      <c r="E608" s="1">
        <v>38372</v>
      </c>
      <c r="F608" t="s">
        <v>0</v>
      </c>
      <c r="G608">
        <v>1</v>
      </c>
      <c r="H608">
        <v>2005</v>
      </c>
      <c r="I608" t="s">
        <v>49</v>
      </c>
      <c r="J608" t="s">
        <v>81</v>
      </c>
      <c r="K608" t="s">
        <v>26</v>
      </c>
      <c r="L608" t="s">
        <v>27</v>
      </c>
      <c r="M608" t="s">
        <v>28</v>
      </c>
      <c r="N608" t="s">
        <v>21</v>
      </c>
      <c r="O608" t="s">
        <v>137</v>
      </c>
      <c r="P608" t="s">
        <v>13</v>
      </c>
      <c r="Q608" t="s">
        <v>14</v>
      </c>
      <c r="R608" t="s">
        <v>352</v>
      </c>
      <c r="S608" t="s">
        <v>7</v>
      </c>
      <c r="T608" t="s">
        <v>345</v>
      </c>
      <c r="U608">
        <f>Sales_Order[[#This Row],[Quantity ordered]]*Sales_Order[[#This Row],[Price each]]</f>
        <v>2000</v>
      </c>
    </row>
    <row r="609" spans="1:21" x14ac:dyDescent="0.3">
      <c r="A609">
        <v>10382</v>
      </c>
      <c r="B609">
        <v>39</v>
      </c>
      <c r="C609">
        <v>100</v>
      </c>
      <c r="D609">
        <v>2</v>
      </c>
      <c r="E609" s="1">
        <v>38400</v>
      </c>
      <c r="F609" t="s">
        <v>0</v>
      </c>
      <c r="G609">
        <v>1</v>
      </c>
      <c r="H609">
        <v>2005</v>
      </c>
      <c r="I609" t="s">
        <v>49</v>
      </c>
      <c r="J609" t="s">
        <v>81</v>
      </c>
      <c r="K609" t="s">
        <v>225</v>
      </c>
      <c r="L609" t="s">
        <v>226</v>
      </c>
      <c r="M609" t="s">
        <v>227</v>
      </c>
      <c r="N609" t="s">
        <v>161</v>
      </c>
      <c r="O609" t="s">
        <v>177</v>
      </c>
      <c r="P609" t="s">
        <v>5</v>
      </c>
      <c r="Q609" t="s">
        <v>6</v>
      </c>
      <c r="R609" t="s">
        <v>349</v>
      </c>
      <c r="S609" t="s">
        <v>17</v>
      </c>
      <c r="T609" t="s">
        <v>320</v>
      </c>
      <c r="U609">
        <f>Sales_Order[[#This Row],[Quantity ordered]]*Sales_Order[[#This Row],[Price each]]</f>
        <v>3900</v>
      </c>
    </row>
    <row r="610" spans="1:21" x14ac:dyDescent="0.3">
      <c r="A610">
        <v>10411</v>
      </c>
      <c r="B610">
        <v>35</v>
      </c>
      <c r="C610">
        <v>59.87</v>
      </c>
      <c r="D610">
        <v>7</v>
      </c>
      <c r="E610" s="1">
        <v>38357</v>
      </c>
      <c r="F610" t="s">
        <v>0</v>
      </c>
      <c r="G610">
        <v>2</v>
      </c>
      <c r="H610">
        <v>2005</v>
      </c>
      <c r="I610" t="s">
        <v>49</v>
      </c>
      <c r="J610" t="s">
        <v>81</v>
      </c>
      <c r="K610" t="s">
        <v>237</v>
      </c>
      <c r="L610" t="s">
        <v>238</v>
      </c>
      <c r="M610" t="s">
        <v>239</v>
      </c>
      <c r="N610" t="s">
        <v>240</v>
      </c>
      <c r="O610" t="s">
        <v>241</v>
      </c>
      <c r="P610" t="s">
        <v>210</v>
      </c>
      <c r="Q610" t="s">
        <v>6</v>
      </c>
      <c r="R610" t="s">
        <v>353</v>
      </c>
      <c r="S610" t="s">
        <v>7</v>
      </c>
      <c r="T610" t="s">
        <v>329</v>
      </c>
      <c r="U610">
        <f>Sales_Order[[#This Row],[Quantity ordered]]*Sales_Order[[#This Row],[Price each]]</f>
        <v>2095.4499999999998</v>
      </c>
    </row>
    <row r="611" spans="1:21" x14ac:dyDescent="0.3">
      <c r="A611">
        <v>10135</v>
      </c>
      <c r="B611">
        <v>31</v>
      </c>
      <c r="C611">
        <v>100</v>
      </c>
      <c r="D611">
        <v>12</v>
      </c>
      <c r="E611" s="1">
        <v>37659</v>
      </c>
      <c r="F611" t="s">
        <v>0</v>
      </c>
      <c r="G611">
        <v>3</v>
      </c>
      <c r="H611">
        <v>2003</v>
      </c>
      <c r="I611" t="s">
        <v>22</v>
      </c>
      <c r="J611" t="s">
        <v>82</v>
      </c>
      <c r="K611" t="s">
        <v>225</v>
      </c>
      <c r="L611" t="s">
        <v>226</v>
      </c>
      <c r="M611" t="s">
        <v>227</v>
      </c>
      <c r="N611" t="s">
        <v>161</v>
      </c>
      <c r="O611" t="s">
        <v>177</v>
      </c>
      <c r="P611" t="s">
        <v>5</v>
      </c>
      <c r="Q611" t="s">
        <v>6</v>
      </c>
      <c r="R611" t="s">
        <v>349</v>
      </c>
      <c r="S611" t="s">
        <v>8</v>
      </c>
      <c r="T611" t="s">
        <v>339</v>
      </c>
      <c r="U611">
        <f>Sales_Order[[#This Row],[Quantity ordered]]*Sales_Order[[#This Row],[Price each]]</f>
        <v>3100</v>
      </c>
    </row>
    <row r="612" spans="1:21" x14ac:dyDescent="0.3">
      <c r="A612">
        <v>10146</v>
      </c>
      <c r="B612">
        <v>29</v>
      </c>
      <c r="C612">
        <v>100</v>
      </c>
      <c r="D612">
        <v>1</v>
      </c>
      <c r="E612" s="1">
        <v>37689</v>
      </c>
      <c r="F612" t="s">
        <v>0</v>
      </c>
      <c r="G612">
        <v>3</v>
      </c>
      <c r="H612">
        <v>2003</v>
      </c>
      <c r="I612" t="s">
        <v>22</v>
      </c>
      <c r="J612" t="s">
        <v>82</v>
      </c>
      <c r="K612" t="s">
        <v>301</v>
      </c>
      <c r="L612" t="s">
        <v>302</v>
      </c>
      <c r="M612" t="s">
        <v>284</v>
      </c>
      <c r="N612" t="s">
        <v>176</v>
      </c>
      <c r="O612" t="s">
        <v>303</v>
      </c>
      <c r="P612" t="s">
        <v>5</v>
      </c>
      <c r="Q612" t="s">
        <v>6</v>
      </c>
      <c r="R612" t="s">
        <v>372</v>
      </c>
      <c r="S612" t="s">
        <v>8</v>
      </c>
      <c r="T612" t="s">
        <v>361</v>
      </c>
      <c r="U612">
        <f>Sales_Order[[#This Row],[Quantity ordered]]*Sales_Order[[#This Row],[Price each]]</f>
        <v>2900</v>
      </c>
    </row>
    <row r="613" spans="1:21" x14ac:dyDescent="0.3">
      <c r="A613">
        <v>10169</v>
      </c>
      <c r="B613">
        <v>33</v>
      </c>
      <c r="C613">
        <v>100</v>
      </c>
      <c r="D613">
        <v>7</v>
      </c>
      <c r="E613" s="1">
        <v>37722</v>
      </c>
      <c r="F613" t="s">
        <v>0</v>
      </c>
      <c r="G613">
        <v>4</v>
      </c>
      <c r="H613">
        <v>2003</v>
      </c>
      <c r="I613" t="s">
        <v>22</v>
      </c>
      <c r="J613" t="s">
        <v>82</v>
      </c>
      <c r="K613" t="s">
        <v>26</v>
      </c>
      <c r="L613" t="s">
        <v>27</v>
      </c>
      <c r="M613" t="s">
        <v>28</v>
      </c>
      <c r="N613" t="s">
        <v>21</v>
      </c>
      <c r="O613" t="s">
        <v>137</v>
      </c>
      <c r="P613" t="s">
        <v>13</v>
      </c>
      <c r="Q613" t="s">
        <v>14</v>
      </c>
      <c r="R613" t="s">
        <v>352</v>
      </c>
      <c r="S613" t="s">
        <v>8</v>
      </c>
      <c r="T613" t="s">
        <v>334</v>
      </c>
      <c r="U613">
        <f>Sales_Order[[#This Row],[Quantity ordered]]*Sales_Order[[#This Row],[Price each]]</f>
        <v>3300</v>
      </c>
    </row>
    <row r="614" spans="1:21" x14ac:dyDescent="0.3">
      <c r="A614">
        <v>10264</v>
      </c>
      <c r="B614">
        <v>20</v>
      </c>
      <c r="C614">
        <v>100</v>
      </c>
      <c r="D614">
        <v>2</v>
      </c>
      <c r="E614" s="1">
        <v>38168</v>
      </c>
      <c r="F614" t="s">
        <v>0</v>
      </c>
      <c r="G614">
        <v>2</v>
      </c>
      <c r="H614">
        <v>2004</v>
      </c>
      <c r="I614" t="s">
        <v>22</v>
      </c>
      <c r="J614" t="s">
        <v>82</v>
      </c>
      <c r="K614" t="s">
        <v>263</v>
      </c>
      <c r="L614" t="s">
        <v>264</v>
      </c>
      <c r="M614" t="s">
        <v>265</v>
      </c>
      <c r="N614" t="s">
        <v>181</v>
      </c>
      <c r="O614" t="s">
        <v>266</v>
      </c>
      <c r="P614" t="s">
        <v>5</v>
      </c>
      <c r="Q614" t="s">
        <v>6</v>
      </c>
      <c r="R614" t="s">
        <v>360</v>
      </c>
      <c r="S614" t="s">
        <v>7</v>
      </c>
      <c r="T614" t="s">
        <v>331</v>
      </c>
      <c r="U614">
        <f>Sales_Order[[#This Row],[Quantity ordered]]*Sales_Order[[#This Row],[Price each]]</f>
        <v>2000</v>
      </c>
    </row>
    <row r="615" spans="1:21" x14ac:dyDescent="0.3">
      <c r="A615">
        <v>10276</v>
      </c>
      <c r="B615">
        <v>48</v>
      </c>
      <c r="C615">
        <v>100</v>
      </c>
      <c r="D615">
        <v>8</v>
      </c>
      <c r="E615" s="1">
        <v>38025</v>
      </c>
      <c r="F615" t="s">
        <v>0</v>
      </c>
      <c r="G615">
        <v>3</v>
      </c>
      <c r="H615">
        <v>2004</v>
      </c>
      <c r="I615" t="s">
        <v>22</v>
      </c>
      <c r="J615" t="s">
        <v>82</v>
      </c>
      <c r="K615" t="s">
        <v>279</v>
      </c>
      <c r="L615" t="s">
        <v>280</v>
      </c>
      <c r="M615" t="s">
        <v>235</v>
      </c>
      <c r="N615" t="s">
        <v>181</v>
      </c>
      <c r="O615" t="s">
        <v>236</v>
      </c>
      <c r="P615" t="s">
        <v>5</v>
      </c>
      <c r="Q615" t="s">
        <v>6</v>
      </c>
      <c r="R615" t="s">
        <v>365</v>
      </c>
      <c r="S615" t="s">
        <v>8</v>
      </c>
      <c r="T615" t="s">
        <v>322</v>
      </c>
      <c r="U615">
        <f>Sales_Order[[#This Row],[Quantity ordered]]*Sales_Order[[#This Row],[Price each]]</f>
        <v>4800</v>
      </c>
    </row>
    <row r="616" spans="1:21" x14ac:dyDescent="0.3">
      <c r="A616">
        <v>10319</v>
      </c>
      <c r="B616">
        <v>45</v>
      </c>
      <c r="C616">
        <v>100</v>
      </c>
      <c r="D616">
        <v>3</v>
      </c>
      <c r="E616" s="1">
        <v>38057</v>
      </c>
      <c r="F616" t="s">
        <v>0</v>
      </c>
      <c r="G616">
        <v>4</v>
      </c>
      <c r="H616">
        <v>2004</v>
      </c>
      <c r="I616" t="s">
        <v>22</v>
      </c>
      <c r="J616" t="s">
        <v>82</v>
      </c>
      <c r="K616" t="s">
        <v>41</v>
      </c>
      <c r="L616" t="s">
        <v>42</v>
      </c>
      <c r="M616" t="s">
        <v>3</v>
      </c>
      <c r="N616" t="s">
        <v>4</v>
      </c>
      <c r="O616" t="s">
        <v>135</v>
      </c>
      <c r="P616" t="s">
        <v>5</v>
      </c>
      <c r="Q616" t="s">
        <v>6</v>
      </c>
      <c r="R616" t="s">
        <v>367</v>
      </c>
      <c r="S616" t="s">
        <v>17</v>
      </c>
      <c r="T616" t="s">
        <v>334</v>
      </c>
      <c r="U616">
        <f>Sales_Order[[#This Row],[Quantity ordered]]*Sales_Order[[#This Row],[Price each]]</f>
        <v>4500</v>
      </c>
    </row>
    <row r="617" spans="1:21" x14ac:dyDescent="0.3">
      <c r="A617">
        <v>10342</v>
      </c>
      <c r="B617">
        <v>38</v>
      </c>
      <c r="C617">
        <v>100</v>
      </c>
      <c r="D617">
        <v>11</v>
      </c>
      <c r="E617" s="1">
        <v>38315</v>
      </c>
      <c r="F617" t="s">
        <v>0</v>
      </c>
      <c r="G617">
        <v>4</v>
      </c>
      <c r="H617">
        <v>2004</v>
      </c>
      <c r="I617" t="s">
        <v>22</v>
      </c>
      <c r="J617" t="s">
        <v>82</v>
      </c>
      <c r="K617" t="s">
        <v>9</v>
      </c>
      <c r="L617" t="s">
        <v>10</v>
      </c>
      <c r="M617" t="s">
        <v>11</v>
      </c>
      <c r="N617" t="s">
        <v>12</v>
      </c>
      <c r="O617" t="s">
        <v>134</v>
      </c>
      <c r="P617" t="s">
        <v>13</v>
      </c>
      <c r="Q617" t="s">
        <v>14</v>
      </c>
      <c r="R617" t="s">
        <v>325</v>
      </c>
      <c r="S617" t="s">
        <v>8</v>
      </c>
      <c r="T617" t="s">
        <v>334</v>
      </c>
      <c r="U617">
        <f>Sales_Order[[#This Row],[Quantity ordered]]*Sales_Order[[#This Row],[Price each]]</f>
        <v>3800</v>
      </c>
    </row>
    <row r="618" spans="1:21" x14ac:dyDescent="0.3">
      <c r="A618">
        <v>10390</v>
      </c>
      <c r="B618">
        <v>49</v>
      </c>
      <c r="C618">
        <v>100</v>
      </c>
      <c r="D618">
        <v>3</v>
      </c>
      <c r="E618" s="1">
        <v>38445</v>
      </c>
      <c r="F618" t="s">
        <v>0</v>
      </c>
      <c r="G618">
        <v>1</v>
      </c>
      <c r="H618">
        <v>2005</v>
      </c>
      <c r="I618" t="s">
        <v>22</v>
      </c>
      <c r="J618" t="s">
        <v>82</v>
      </c>
      <c r="K618" t="s">
        <v>225</v>
      </c>
      <c r="L618" t="s">
        <v>226</v>
      </c>
      <c r="M618" t="s">
        <v>227</v>
      </c>
      <c r="N618" t="s">
        <v>161</v>
      </c>
      <c r="O618" t="s">
        <v>177</v>
      </c>
      <c r="P618" t="s">
        <v>5</v>
      </c>
      <c r="Q618" t="s">
        <v>6</v>
      </c>
      <c r="R618" t="s">
        <v>349</v>
      </c>
      <c r="S618" t="s">
        <v>8</v>
      </c>
      <c r="T618" t="s">
        <v>338</v>
      </c>
      <c r="U618">
        <f>Sales_Order[[#This Row],[Quantity ordered]]*Sales_Order[[#This Row],[Price each]]</f>
        <v>4900</v>
      </c>
    </row>
    <row r="619" spans="1:21" x14ac:dyDescent="0.3">
      <c r="A619">
        <v>10124</v>
      </c>
      <c r="B619">
        <v>23</v>
      </c>
      <c r="C619">
        <v>57.73</v>
      </c>
      <c r="D619">
        <v>8</v>
      </c>
      <c r="E619" s="1">
        <v>37762</v>
      </c>
      <c r="F619" t="s">
        <v>0</v>
      </c>
      <c r="G619">
        <v>2</v>
      </c>
      <c r="H619">
        <v>2003</v>
      </c>
      <c r="I619" t="s">
        <v>22</v>
      </c>
      <c r="J619" t="s">
        <v>83</v>
      </c>
      <c r="K619" t="s">
        <v>290</v>
      </c>
      <c r="L619" t="s">
        <v>291</v>
      </c>
      <c r="M619" t="s">
        <v>292</v>
      </c>
      <c r="N619" t="s">
        <v>293</v>
      </c>
      <c r="O619" t="s">
        <v>294</v>
      </c>
      <c r="P619" t="s">
        <v>5</v>
      </c>
      <c r="Q619" t="s">
        <v>6</v>
      </c>
      <c r="R619" t="s">
        <v>370</v>
      </c>
      <c r="S619" t="s">
        <v>7</v>
      </c>
      <c r="T619" t="s">
        <v>329</v>
      </c>
      <c r="U619">
        <f>Sales_Order[[#This Row],[Quantity ordered]]*Sales_Order[[#This Row],[Price each]]</f>
        <v>1327.79</v>
      </c>
    </row>
    <row r="620" spans="1:21" x14ac:dyDescent="0.3">
      <c r="A620">
        <v>10148</v>
      </c>
      <c r="B620">
        <v>29</v>
      </c>
      <c r="C620">
        <v>81.25</v>
      </c>
      <c r="D620">
        <v>2</v>
      </c>
      <c r="E620" s="1">
        <v>37934</v>
      </c>
      <c r="F620" t="s">
        <v>0</v>
      </c>
      <c r="G620">
        <v>3</v>
      </c>
      <c r="H620">
        <v>2003</v>
      </c>
      <c r="I620" t="s">
        <v>22</v>
      </c>
      <c r="J620" t="s">
        <v>83</v>
      </c>
      <c r="K620" t="s">
        <v>26</v>
      </c>
      <c r="L620" t="s">
        <v>27</v>
      </c>
      <c r="M620" t="s">
        <v>28</v>
      </c>
      <c r="N620" t="s">
        <v>21</v>
      </c>
      <c r="O620" t="s">
        <v>137</v>
      </c>
      <c r="P620" t="s">
        <v>13</v>
      </c>
      <c r="Q620" t="s">
        <v>14</v>
      </c>
      <c r="R620" t="s">
        <v>352</v>
      </c>
      <c r="S620" t="s">
        <v>7</v>
      </c>
      <c r="T620" t="s">
        <v>361</v>
      </c>
      <c r="U620">
        <f>Sales_Order[[#This Row],[Quantity ordered]]*Sales_Order[[#This Row],[Price each]]</f>
        <v>2356.25</v>
      </c>
    </row>
    <row r="621" spans="1:21" x14ac:dyDescent="0.3">
      <c r="A621">
        <v>10182</v>
      </c>
      <c r="B621">
        <v>44</v>
      </c>
      <c r="C621">
        <v>69.84</v>
      </c>
      <c r="D621">
        <v>12</v>
      </c>
      <c r="E621" s="1">
        <v>37966</v>
      </c>
      <c r="F621" t="s">
        <v>0</v>
      </c>
      <c r="G621">
        <v>4</v>
      </c>
      <c r="H621">
        <v>2003</v>
      </c>
      <c r="I621" t="s">
        <v>22</v>
      </c>
      <c r="J621" t="s">
        <v>83</v>
      </c>
      <c r="K621" t="s">
        <v>225</v>
      </c>
      <c r="L621" t="s">
        <v>226</v>
      </c>
      <c r="M621" t="s">
        <v>227</v>
      </c>
      <c r="N621" t="s">
        <v>161</v>
      </c>
      <c r="O621" t="s">
        <v>177</v>
      </c>
      <c r="P621" t="s">
        <v>5</v>
      </c>
      <c r="Q621" t="s">
        <v>6</v>
      </c>
      <c r="R621" t="s">
        <v>349</v>
      </c>
      <c r="S621" t="s">
        <v>8</v>
      </c>
      <c r="T621" t="s">
        <v>334</v>
      </c>
      <c r="U621">
        <f>Sales_Order[[#This Row],[Quantity ordered]]*Sales_Order[[#This Row],[Price each]]</f>
        <v>3072.96</v>
      </c>
    </row>
    <row r="622" spans="1:21" x14ac:dyDescent="0.3">
      <c r="A622">
        <v>10193</v>
      </c>
      <c r="B622">
        <v>25</v>
      </c>
      <c r="C622">
        <v>76.260000000000005</v>
      </c>
      <c r="D622">
        <v>16</v>
      </c>
      <c r="E622" s="1">
        <v>37946</v>
      </c>
      <c r="F622" t="s">
        <v>0</v>
      </c>
      <c r="G622">
        <v>4</v>
      </c>
      <c r="H622">
        <v>2003</v>
      </c>
      <c r="I622" t="s">
        <v>22</v>
      </c>
      <c r="J622" t="s">
        <v>83</v>
      </c>
      <c r="K622" t="s">
        <v>296</v>
      </c>
      <c r="L622" t="s">
        <v>297</v>
      </c>
      <c r="M622" t="s">
        <v>298</v>
      </c>
      <c r="N622" t="s">
        <v>12</v>
      </c>
      <c r="O622" t="s">
        <v>299</v>
      </c>
      <c r="P622" t="s">
        <v>13</v>
      </c>
      <c r="Q622" t="s">
        <v>14</v>
      </c>
      <c r="R622" t="s">
        <v>371</v>
      </c>
      <c r="S622" t="s">
        <v>7</v>
      </c>
      <c r="T622" t="s">
        <v>334</v>
      </c>
      <c r="U622">
        <f>Sales_Order[[#This Row],[Quantity ordered]]*Sales_Order[[#This Row],[Price each]]</f>
        <v>1906.5000000000002</v>
      </c>
    </row>
    <row r="623" spans="1:21" x14ac:dyDescent="0.3">
      <c r="A623">
        <v>10204</v>
      </c>
      <c r="B623">
        <v>45</v>
      </c>
      <c r="C623">
        <v>76.260000000000005</v>
      </c>
      <c r="D623">
        <v>6</v>
      </c>
      <c r="E623" s="1">
        <v>37664</v>
      </c>
      <c r="F623" t="s">
        <v>0</v>
      </c>
      <c r="G623">
        <v>4</v>
      </c>
      <c r="H623">
        <v>2003</v>
      </c>
      <c r="I623" t="s">
        <v>22</v>
      </c>
      <c r="J623" t="s">
        <v>83</v>
      </c>
      <c r="K623" t="s">
        <v>36</v>
      </c>
      <c r="L623" t="s">
        <v>37</v>
      </c>
      <c r="M623" t="s">
        <v>3</v>
      </c>
      <c r="N623" t="s">
        <v>4</v>
      </c>
      <c r="O623" t="s">
        <v>135</v>
      </c>
      <c r="P623" t="s">
        <v>5</v>
      </c>
      <c r="Q623" t="s">
        <v>6</v>
      </c>
      <c r="R623" t="s">
        <v>366</v>
      </c>
      <c r="S623" t="s">
        <v>8</v>
      </c>
      <c r="T623" t="s">
        <v>336</v>
      </c>
      <c r="U623">
        <f>Sales_Order[[#This Row],[Quantity ordered]]*Sales_Order[[#This Row],[Price each]]</f>
        <v>3431.7000000000003</v>
      </c>
    </row>
    <row r="624" spans="1:21" x14ac:dyDescent="0.3">
      <c r="A624">
        <v>10267</v>
      </c>
      <c r="B624">
        <v>36</v>
      </c>
      <c r="C624">
        <v>75.55</v>
      </c>
      <c r="D624">
        <v>1</v>
      </c>
      <c r="E624" s="1">
        <v>38175</v>
      </c>
      <c r="F624" t="s">
        <v>0</v>
      </c>
      <c r="G624">
        <v>3</v>
      </c>
      <c r="H624">
        <v>2004</v>
      </c>
      <c r="I624" t="s">
        <v>22</v>
      </c>
      <c r="J624" t="s">
        <v>83</v>
      </c>
      <c r="K624" t="s">
        <v>36</v>
      </c>
      <c r="L624" t="s">
        <v>37</v>
      </c>
      <c r="M624" t="s">
        <v>3</v>
      </c>
      <c r="N624" t="s">
        <v>4</v>
      </c>
      <c r="O624" t="s">
        <v>135</v>
      </c>
      <c r="P624" t="s">
        <v>5</v>
      </c>
      <c r="Q624" t="s">
        <v>6</v>
      </c>
      <c r="R624" t="s">
        <v>366</v>
      </c>
      <c r="S624" t="s">
        <v>7</v>
      </c>
      <c r="T624" t="s">
        <v>339</v>
      </c>
      <c r="U624">
        <f>Sales_Order[[#This Row],[Quantity ordered]]*Sales_Order[[#This Row],[Price each]]</f>
        <v>2719.7999999999997</v>
      </c>
    </row>
    <row r="625" spans="1:21" x14ac:dyDescent="0.3">
      <c r="A625">
        <v>10367</v>
      </c>
      <c r="B625">
        <v>44</v>
      </c>
      <c r="C625">
        <v>85.25</v>
      </c>
      <c r="D625">
        <v>9</v>
      </c>
      <c r="E625" s="1">
        <v>38687</v>
      </c>
      <c r="F625" t="s">
        <v>276</v>
      </c>
      <c r="G625">
        <v>1</v>
      </c>
      <c r="H625">
        <v>2005</v>
      </c>
      <c r="I625" t="s">
        <v>22</v>
      </c>
      <c r="J625" t="s">
        <v>83</v>
      </c>
      <c r="K625" t="s">
        <v>158</v>
      </c>
      <c r="L625" t="s">
        <v>159</v>
      </c>
      <c r="M625" t="s">
        <v>160</v>
      </c>
      <c r="N625" t="s">
        <v>161</v>
      </c>
      <c r="O625" t="s">
        <v>162</v>
      </c>
      <c r="P625" t="s">
        <v>5</v>
      </c>
      <c r="Q625" t="s">
        <v>6</v>
      </c>
      <c r="R625" t="s">
        <v>321</v>
      </c>
      <c r="S625" t="s">
        <v>8</v>
      </c>
      <c r="T625" t="s">
        <v>345</v>
      </c>
      <c r="U625">
        <f>Sales_Order[[#This Row],[Quantity ordered]]*Sales_Order[[#This Row],[Price each]]</f>
        <v>3751</v>
      </c>
    </row>
    <row r="626" spans="1:21" x14ac:dyDescent="0.3">
      <c r="A626">
        <v>10407</v>
      </c>
      <c r="B626">
        <v>66</v>
      </c>
      <c r="C626">
        <v>66.989999999999995</v>
      </c>
      <c r="D626">
        <v>4</v>
      </c>
      <c r="E626" s="1">
        <v>38464</v>
      </c>
      <c r="F626" t="s">
        <v>275</v>
      </c>
      <c r="G626">
        <v>2</v>
      </c>
      <c r="H626">
        <v>2005</v>
      </c>
      <c r="I626" t="s">
        <v>22</v>
      </c>
      <c r="J626" t="s">
        <v>83</v>
      </c>
      <c r="K626" t="s">
        <v>272</v>
      </c>
      <c r="L626" t="s">
        <v>273</v>
      </c>
      <c r="M626" t="s">
        <v>274</v>
      </c>
      <c r="N626" t="s">
        <v>161</v>
      </c>
      <c r="O626" t="s">
        <v>166</v>
      </c>
      <c r="P626" t="s">
        <v>5</v>
      </c>
      <c r="Q626" t="s">
        <v>6</v>
      </c>
      <c r="R626" t="s">
        <v>363</v>
      </c>
      <c r="S626" t="s">
        <v>8</v>
      </c>
      <c r="T626" t="s">
        <v>327</v>
      </c>
      <c r="U626">
        <f>Sales_Order[[#This Row],[Quantity ordered]]*Sales_Order[[#This Row],[Price each]]</f>
        <v>4421.3399999999992</v>
      </c>
    </row>
    <row r="627" spans="1:21" x14ac:dyDescent="0.3">
      <c r="A627">
        <v>10420</v>
      </c>
      <c r="B627">
        <v>36</v>
      </c>
      <c r="C627">
        <v>57.73</v>
      </c>
      <c r="D627">
        <v>7</v>
      </c>
      <c r="E627" s="1">
        <v>38501</v>
      </c>
      <c r="F627" t="s">
        <v>29</v>
      </c>
      <c r="G627">
        <v>2</v>
      </c>
      <c r="H627">
        <v>2005</v>
      </c>
      <c r="I627" t="s">
        <v>22</v>
      </c>
      <c r="J627" t="s">
        <v>83</v>
      </c>
      <c r="K627" t="s">
        <v>18</v>
      </c>
      <c r="L627" t="s">
        <v>19</v>
      </c>
      <c r="M627" t="s">
        <v>20</v>
      </c>
      <c r="N627" t="s">
        <v>21</v>
      </c>
      <c r="O627" t="s">
        <v>136</v>
      </c>
      <c r="P627" t="s">
        <v>13</v>
      </c>
      <c r="Q627" t="s">
        <v>14</v>
      </c>
      <c r="R627" t="s">
        <v>335</v>
      </c>
      <c r="S627" t="s">
        <v>7</v>
      </c>
      <c r="T627" t="s">
        <v>329</v>
      </c>
      <c r="U627">
        <f>Sales_Order[[#This Row],[Quantity ordered]]*Sales_Order[[#This Row],[Price each]]</f>
        <v>2078.2799999999997</v>
      </c>
    </row>
    <row r="628" spans="1:21" x14ac:dyDescent="0.3">
      <c r="A628">
        <v>10124</v>
      </c>
      <c r="B628">
        <v>22</v>
      </c>
      <c r="C628">
        <v>77.900000000000006</v>
      </c>
      <c r="D628">
        <v>12</v>
      </c>
      <c r="E628" s="1">
        <v>37762</v>
      </c>
      <c r="F628" t="s">
        <v>0</v>
      </c>
      <c r="G628">
        <v>2</v>
      </c>
      <c r="H628">
        <v>2003</v>
      </c>
      <c r="I628" t="s">
        <v>22</v>
      </c>
      <c r="J628" t="s">
        <v>84</v>
      </c>
      <c r="K628" t="s">
        <v>290</v>
      </c>
      <c r="L628" t="s">
        <v>291</v>
      </c>
      <c r="M628" t="s">
        <v>292</v>
      </c>
      <c r="N628" t="s">
        <v>293</v>
      </c>
      <c r="O628" t="s">
        <v>294</v>
      </c>
      <c r="P628" t="s">
        <v>5</v>
      </c>
      <c r="Q628" t="s">
        <v>6</v>
      </c>
      <c r="R628" t="s">
        <v>370</v>
      </c>
      <c r="S628" t="s">
        <v>7</v>
      </c>
      <c r="T628" t="s">
        <v>329</v>
      </c>
      <c r="U628">
        <f>Sales_Order[[#This Row],[Quantity ordered]]*Sales_Order[[#This Row],[Price each]]</f>
        <v>1713.8000000000002</v>
      </c>
    </row>
    <row r="629" spans="1:21" x14ac:dyDescent="0.3">
      <c r="A629">
        <v>10148</v>
      </c>
      <c r="B629">
        <v>25</v>
      </c>
      <c r="C629">
        <v>60.26</v>
      </c>
      <c r="D629">
        <v>6</v>
      </c>
      <c r="E629" s="1">
        <v>37934</v>
      </c>
      <c r="F629" t="s">
        <v>0</v>
      </c>
      <c r="G629">
        <v>3</v>
      </c>
      <c r="H629">
        <v>2003</v>
      </c>
      <c r="I629" t="s">
        <v>22</v>
      </c>
      <c r="J629" t="s">
        <v>84</v>
      </c>
      <c r="K629" t="s">
        <v>26</v>
      </c>
      <c r="L629" t="s">
        <v>27</v>
      </c>
      <c r="M629" t="s">
        <v>28</v>
      </c>
      <c r="N629" t="s">
        <v>21</v>
      </c>
      <c r="O629" t="s">
        <v>137</v>
      </c>
      <c r="P629" t="s">
        <v>13</v>
      </c>
      <c r="Q629" t="s">
        <v>14</v>
      </c>
      <c r="R629" t="s">
        <v>352</v>
      </c>
      <c r="S629" t="s">
        <v>7</v>
      </c>
      <c r="T629" t="s">
        <v>361</v>
      </c>
      <c r="U629">
        <f>Sales_Order[[#This Row],[Quantity ordered]]*Sales_Order[[#This Row],[Price each]]</f>
        <v>1506.5</v>
      </c>
    </row>
    <row r="630" spans="1:21" x14ac:dyDescent="0.3">
      <c r="A630">
        <v>10172</v>
      </c>
      <c r="B630">
        <v>32</v>
      </c>
      <c r="C630">
        <v>75.69</v>
      </c>
      <c r="D630">
        <v>3</v>
      </c>
      <c r="E630" s="1">
        <v>37752</v>
      </c>
      <c r="F630" t="s">
        <v>0</v>
      </c>
      <c r="G630">
        <v>4</v>
      </c>
      <c r="H630">
        <v>2003</v>
      </c>
      <c r="I630" t="s">
        <v>22</v>
      </c>
      <c r="J630" t="s">
        <v>84</v>
      </c>
      <c r="K630" t="s">
        <v>173</v>
      </c>
      <c r="L630" t="s">
        <v>174</v>
      </c>
      <c r="M630" t="s">
        <v>175</v>
      </c>
      <c r="N630" t="s">
        <v>176</v>
      </c>
      <c r="O630" t="s">
        <v>177</v>
      </c>
      <c r="P630" t="s">
        <v>5</v>
      </c>
      <c r="Q630" t="s">
        <v>6</v>
      </c>
      <c r="R630" t="s">
        <v>330</v>
      </c>
      <c r="S630" t="s">
        <v>7</v>
      </c>
      <c r="T630" t="s">
        <v>334</v>
      </c>
      <c r="U630">
        <f>Sales_Order[[#This Row],[Quantity ordered]]*Sales_Order[[#This Row],[Price each]]</f>
        <v>2422.08</v>
      </c>
    </row>
    <row r="631" spans="1:21" x14ac:dyDescent="0.3">
      <c r="A631">
        <v>10182</v>
      </c>
      <c r="B631">
        <v>47</v>
      </c>
      <c r="C631">
        <v>74.22</v>
      </c>
      <c r="D631">
        <v>16</v>
      </c>
      <c r="E631" s="1">
        <v>37966</v>
      </c>
      <c r="F631" t="s">
        <v>0</v>
      </c>
      <c r="G631">
        <v>4</v>
      </c>
      <c r="H631">
        <v>2003</v>
      </c>
      <c r="I631" t="s">
        <v>22</v>
      </c>
      <c r="J631" t="s">
        <v>84</v>
      </c>
      <c r="K631" t="s">
        <v>225</v>
      </c>
      <c r="L631" t="s">
        <v>226</v>
      </c>
      <c r="M631" t="s">
        <v>227</v>
      </c>
      <c r="N631" t="s">
        <v>161</v>
      </c>
      <c r="O631" t="s">
        <v>177</v>
      </c>
      <c r="P631" t="s">
        <v>5</v>
      </c>
      <c r="Q631" t="s">
        <v>6</v>
      </c>
      <c r="R631" t="s">
        <v>349</v>
      </c>
      <c r="S631" t="s">
        <v>8</v>
      </c>
      <c r="T631" t="s">
        <v>334</v>
      </c>
      <c r="U631">
        <f>Sales_Order[[#This Row],[Quantity ordered]]*Sales_Order[[#This Row],[Price each]]</f>
        <v>3488.34</v>
      </c>
    </row>
    <row r="632" spans="1:21" x14ac:dyDescent="0.3">
      <c r="A632">
        <v>10192</v>
      </c>
      <c r="B632">
        <v>37</v>
      </c>
      <c r="C632">
        <v>69.819999999999993</v>
      </c>
      <c r="D632">
        <v>4</v>
      </c>
      <c r="E632" s="1">
        <v>37945</v>
      </c>
      <c r="F632" t="s">
        <v>0</v>
      </c>
      <c r="G632">
        <v>4</v>
      </c>
      <c r="H632">
        <v>2003</v>
      </c>
      <c r="I632" t="s">
        <v>22</v>
      </c>
      <c r="J632" t="s">
        <v>84</v>
      </c>
      <c r="K632" t="s">
        <v>228</v>
      </c>
      <c r="L632" t="s">
        <v>229</v>
      </c>
      <c r="M632" t="s">
        <v>230</v>
      </c>
      <c r="N632" t="s">
        <v>231</v>
      </c>
      <c r="O632" t="s">
        <v>232</v>
      </c>
      <c r="P632" t="s">
        <v>5</v>
      </c>
      <c r="Q632" t="s">
        <v>6</v>
      </c>
      <c r="R632" t="s">
        <v>350</v>
      </c>
      <c r="S632" t="s">
        <v>7</v>
      </c>
      <c r="T632" t="s">
        <v>334</v>
      </c>
      <c r="U632">
        <f>Sales_Order[[#This Row],[Quantity ordered]]*Sales_Order[[#This Row],[Price each]]</f>
        <v>2583.3399999999997</v>
      </c>
    </row>
    <row r="633" spans="1:21" x14ac:dyDescent="0.3">
      <c r="A633">
        <v>10204</v>
      </c>
      <c r="B633">
        <v>20</v>
      </c>
      <c r="C633">
        <v>62.47</v>
      </c>
      <c r="D633">
        <v>10</v>
      </c>
      <c r="E633" s="1">
        <v>37664</v>
      </c>
      <c r="F633" t="s">
        <v>0</v>
      </c>
      <c r="G633">
        <v>4</v>
      </c>
      <c r="H633">
        <v>2003</v>
      </c>
      <c r="I633" t="s">
        <v>22</v>
      </c>
      <c r="J633" t="s">
        <v>84</v>
      </c>
      <c r="K633" t="s">
        <v>36</v>
      </c>
      <c r="L633" t="s">
        <v>37</v>
      </c>
      <c r="M633" t="s">
        <v>3</v>
      </c>
      <c r="N633" t="s">
        <v>4</v>
      </c>
      <c r="O633" t="s">
        <v>135</v>
      </c>
      <c r="P633" t="s">
        <v>5</v>
      </c>
      <c r="Q633" t="s">
        <v>6</v>
      </c>
      <c r="R633" t="s">
        <v>366</v>
      </c>
      <c r="S633" t="s">
        <v>7</v>
      </c>
      <c r="T633" t="s">
        <v>336</v>
      </c>
      <c r="U633">
        <f>Sales_Order[[#This Row],[Quantity ordered]]*Sales_Order[[#This Row],[Price each]]</f>
        <v>1249.4000000000001</v>
      </c>
    </row>
    <row r="634" spans="1:21" x14ac:dyDescent="0.3">
      <c r="A634">
        <v>10226</v>
      </c>
      <c r="B634">
        <v>21</v>
      </c>
      <c r="C634">
        <v>60.26</v>
      </c>
      <c r="D634">
        <v>1</v>
      </c>
      <c r="E634" s="1">
        <v>38043</v>
      </c>
      <c r="F634" t="s">
        <v>0</v>
      </c>
      <c r="G634">
        <v>1</v>
      </c>
      <c r="H634">
        <v>2004</v>
      </c>
      <c r="I634" t="s">
        <v>22</v>
      </c>
      <c r="J634" t="s">
        <v>84</v>
      </c>
      <c r="K634" t="s">
        <v>255</v>
      </c>
      <c r="L634" t="s">
        <v>256</v>
      </c>
      <c r="M634" t="s">
        <v>257</v>
      </c>
      <c r="N634" t="s">
        <v>161</v>
      </c>
      <c r="O634" t="s">
        <v>258</v>
      </c>
      <c r="P634" t="s">
        <v>5</v>
      </c>
      <c r="Q634" t="s">
        <v>6</v>
      </c>
      <c r="R634" t="s">
        <v>358</v>
      </c>
      <c r="S634" t="s">
        <v>7</v>
      </c>
      <c r="T634" t="s">
        <v>320</v>
      </c>
      <c r="U634">
        <f>Sales_Order[[#This Row],[Quantity ordered]]*Sales_Order[[#This Row],[Price each]]</f>
        <v>1265.46</v>
      </c>
    </row>
    <row r="635" spans="1:21" x14ac:dyDescent="0.3">
      <c r="A635">
        <v>10267</v>
      </c>
      <c r="B635">
        <v>40</v>
      </c>
      <c r="C635">
        <v>80.099999999999994</v>
      </c>
      <c r="D635">
        <v>5</v>
      </c>
      <c r="E635" s="1">
        <v>38175</v>
      </c>
      <c r="F635" t="s">
        <v>0</v>
      </c>
      <c r="G635">
        <v>3</v>
      </c>
      <c r="H635">
        <v>2004</v>
      </c>
      <c r="I635" t="s">
        <v>22</v>
      </c>
      <c r="J635" t="s">
        <v>84</v>
      </c>
      <c r="K635" t="s">
        <v>36</v>
      </c>
      <c r="L635" t="s">
        <v>37</v>
      </c>
      <c r="M635" t="s">
        <v>3</v>
      </c>
      <c r="N635" t="s">
        <v>4</v>
      </c>
      <c r="O635" t="s">
        <v>135</v>
      </c>
      <c r="P635" t="s">
        <v>5</v>
      </c>
      <c r="Q635" t="s">
        <v>6</v>
      </c>
      <c r="R635" t="s">
        <v>366</v>
      </c>
      <c r="S635" t="s">
        <v>8</v>
      </c>
      <c r="T635" t="s">
        <v>339</v>
      </c>
      <c r="U635">
        <f>Sales_Order[[#This Row],[Quantity ordered]]*Sales_Order[[#This Row],[Price each]]</f>
        <v>3204</v>
      </c>
    </row>
    <row r="636" spans="1:21" x14ac:dyDescent="0.3">
      <c r="A636">
        <v>10321</v>
      </c>
      <c r="B636">
        <v>30</v>
      </c>
      <c r="C636">
        <v>70.55</v>
      </c>
      <c r="D636">
        <v>3</v>
      </c>
      <c r="E636" s="1">
        <v>38088</v>
      </c>
      <c r="F636" t="s">
        <v>0</v>
      </c>
      <c r="G636">
        <v>4</v>
      </c>
      <c r="H636">
        <v>2004</v>
      </c>
      <c r="I636" t="s">
        <v>22</v>
      </c>
      <c r="J636" t="s">
        <v>84</v>
      </c>
      <c r="K636" t="s">
        <v>189</v>
      </c>
      <c r="L636" t="s">
        <v>190</v>
      </c>
      <c r="M636" t="s">
        <v>191</v>
      </c>
      <c r="N636" t="s">
        <v>181</v>
      </c>
      <c r="O636" t="s">
        <v>192</v>
      </c>
      <c r="P636" t="s">
        <v>5</v>
      </c>
      <c r="Q636" t="s">
        <v>6</v>
      </c>
      <c r="R636" t="s">
        <v>337</v>
      </c>
      <c r="S636" t="s">
        <v>7</v>
      </c>
      <c r="T636" t="s">
        <v>334</v>
      </c>
      <c r="U636">
        <f>Sales_Order[[#This Row],[Quantity ordered]]*Sales_Order[[#This Row],[Price each]]</f>
        <v>2116.5</v>
      </c>
    </row>
    <row r="637" spans="1:21" x14ac:dyDescent="0.3">
      <c r="A637">
        <v>10367</v>
      </c>
      <c r="B637">
        <v>21</v>
      </c>
      <c r="C637">
        <v>60.37</v>
      </c>
      <c r="D637">
        <v>10</v>
      </c>
      <c r="E637" s="1">
        <v>38687</v>
      </c>
      <c r="F637" t="s">
        <v>276</v>
      </c>
      <c r="G637">
        <v>1</v>
      </c>
      <c r="H637">
        <v>2005</v>
      </c>
      <c r="I637" t="s">
        <v>22</v>
      </c>
      <c r="J637" t="s">
        <v>84</v>
      </c>
      <c r="K637" t="s">
        <v>158</v>
      </c>
      <c r="L637" t="s">
        <v>159</v>
      </c>
      <c r="M637" t="s">
        <v>160</v>
      </c>
      <c r="N637" t="s">
        <v>161</v>
      </c>
      <c r="O637" t="s">
        <v>162</v>
      </c>
      <c r="P637" t="s">
        <v>5</v>
      </c>
      <c r="Q637" t="s">
        <v>6</v>
      </c>
      <c r="R637" t="s">
        <v>321</v>
      </c>
      <c r="S637" t="s">
        <v>7</v>
      </c>
      <c r="T637" t="s">
        <v>345</v>
      </c>
      <c r="U637">
        <f>Sales_Order[[#This Row],[Quantity ordered]]*Sales_Order[[#This Row],[Price each]]</f>
        <v>1267.77</v>
      </c>
    </row>
    <row r="638" spans="1:21" x14ac:dyDescent="0.3">
      <c r="A638">
        <v>10407</v>
      </c>
      <c r="B638">
        <v>26</v>
      </c>
      <c r="C638">
        <v>76.430000000000007</v>
      </c>
      <c r="D638">
        <v>8</v>
      </c>
      <c r="E638" s="1">
        <v>38464</v>
      </c>
      <c r="F638" t="s">
        <v>275</v>
      </c>
      <c r="G638">
        <v>2</v>
      </c>
      <c r="H638">
        <v>2005</v>
      </c>
      <c r="I638" t="s">
        <v>22</v>
      </c>
      <c r="J638" t="s">
        <v>84</v>
      </c>
      <c r="K638" t="s">
        <v>272</v>
      </c>
      <c r="L638" t="s">
        <v>273</v>
      </c>
      <c r="M638" t="s">
        <v>274</v>
      </c>
      <c r="N638" t="s">
        <v>161</v>
      </c>
      <c r="O638" t="s">
        <v>166</v>
      </c>
      <c r="P638" t="s">
        <v>5</v>
      </c>
      <c r="Q638" t="s">
        <v>6</v>
      </c>
      <c r="R638" t="s">
        <v>363</v>
      </c>
      <c r="S638" t="s">
        <v>7</v>
      </c>
      <c r="T638" t="s">
        <v>327</v>
      </c>
      <c r="U638">
        <f>Sales_Order[[#This Row],[Quantity ordered]]*Sales_Order[[#This Row],[Price each]]</f>
        <v>1987.1800000000003</v>
      </c>
    </row>
    <row r="639" spans="1:21" x14ac:dyDescent="0.3">
      <c r="A639">
        <v>10420</v>
      </c>
      <c r="B639">
        <v>60</v>
      </c>
      <c r="C639">
        <v>64.67</v>
      </c>
      <c r="D639">
        <v>11</v>
      </c>
      <c r="E639" s="1">
        <v>38501</v>
      </c>
      <c r="F639" t="s">
        <v>29</v>
      </c>
      <c r="G639">
        <v>2</v>
      </c>
      <c r="H639">
        <v>2005</v>
      </c>
      <c r="I639" t="s">
        <v>22</v>
      </c>
      <c r="J639" t="s">
        <v>84</v>
      </c>
      <c r="K639" t="s">
        <v>18</v>
      </c>
      <c r="L639" t="s">
        <v>19</v>
      </c>
      <c r="M639" t="s">
        <v>20</v>
      </c>
      <c r="N639" t="s">
        <v>21</v>
      </c>
      <c r="O639" t="s">
        <v>136</v>
      </c>
      <c r="P639" t="s">
        <v>13</v>
      </c>
      <c r="Q639" t="s">
        <v>14</v>
      </c>
      <c r="R639" t="s">
        <v>335</v>
      </c>
      <c r="S639" t="s">
        <v>8</v>
      </c>
      <c r="T639" t="s">
        <v>329</v>
      </c>
      <c r="U639">
        <f>Sales_Order[[#This Row],[Quantity ordered]]*Sales_Order[[#This Row],[Price each]]</f>
        <v>3880.2000000000003</v>
      </c>
    </row>
    <row r="640" spans="1:21" x14ac:dyDescent="0.3">
      <c r="A640">
        <v>10115</v>
      </c>
      <c r="B640">
        <v>47</v>
      </c>
      <c r="C640">
        <v>69.36</v>
      </c>
      <c r="D640">
        <v>2</v>
      </c>
      <c r="E640" s="1">
        <v>37715</v>
      </c>
      <c r="F640" t="s">
        <v>0</v>
      </c>
      <c r="G640">
        <v>2</v>
      </c>
      <c r="H640">
        <v>2003</v>
      </c>
      <c r="I640" t="s">
        <v>22</v>
      </c>
      <c r="J640" t="s">
        <v>85</v>
      </c>
      <c r="K640" t="s">
        <v>24</v>
      </c>
      <c r="L640" t="s">
        <v>25</v>
      </c>
      <c r="M640" t="s">
        <v>3</v>
      </c>
      <c r="N640" t="s">
        <v>4</v>
      </c>
      <c r="O640" t="s">
        <v>135</v>
      </c>
      <c r="P640" t="s">
        <v>5</v>
      </c>
      <c r="Q640" t="s">
        <v>6</v>
      </c>
      <c r="R640" t="s">
        <v>340</v>
      </c>
      <c r="S640" t="s">
        <v>8</v>
      </c>
      <c r="T640" t="s">
        <v>327</v>
      </c>
      <c r="U640">
        <f>Sales_Order[[#This Row],[Quantity ordered]]*Sales_Order[[#This Row],[Price each]]</f>
        <v>3259.92</v>
      </c>
    </row>
    <row r="641" spans="1:21" x14ac:dyDescent="0.3">
      <c r="A641">
        <v>10127</v>
      </c>
      <c r="B641">
        <v>20</v>
      </c>
      <c r="C641">
        <v>60.69</v>
      </c>
      <c r="D641">
        <v>8</v>
      </c>
      <c r="E641" s="1">
        <v>37686</v>
      </c>
      <c r="F641" t="s">
        <v>0</v>
      </c>
      <c r="G641">
        <v>2</v>
      </c>
      <c r="H641">
        <v>2003</v>
      </c>
      <c r="I641" t="s">
        <v>22</v>
      </c>
      <c r="J641" t="s">
        <v>85</v>
      </c>
      <c r="K641" t="s">
        <v>36</v>
      </c>
      <c r="L641" t="s">
        <v>37</v>
      </c>
      <c r="M641" t="s">
        <v>3</v>
      </c>
      <c r="N641" t="s">
        <v>4</v>
      </c>
      <c r="O641" t="s">
        <v>135</v>
      </c>
      <c r="P641" t="s">
        <v>5</v>
      </c>
      <c r="Q641" t="s">
        <v>6</v>
      </c>
      <c r="R641" t="s">
        <v>366</v>
      </c>
      <c r="S641" t="s">
        <v>7</v>
      </c>
      <c r="T641" t="s">
        <v>331</v>
      </c>
      <c r="U641">
        <f>Sales_Order[[#This Row],[Quantity ordered]]*Sales_Order[[#This Row],[Price each]]</f>
        <v>1213.8</v>
      </c>
    </row>
    <row r="642" spans="1:21" x14ac:dyDescent="0.3">
      <c r="A642">
        <v>10152</v>
      </c>
      <c r="B642">
        <v>25</v>
      </c>
      <c r="C642">
        <v>65.31</v>
      </c>
      <c r="D642">
        <v>4</v>
      </c>
      <c r="E642" s="1">
        <v>37889</v>
      </c>
      <c r="F642" t="s">
        <v>0</v>
      </c>
      <c r="G642">
        <v>3</v>
      </c>
      <c r="H642">
        <v>2003</v>
      </c>
      <c r="I642" t="s">
        <v>22</v>
      </c>
      <c r="J642" t="s">
        <v>85</v>
      </c>
      <c r="K642" t="s">
        <v>196</v>
      </c>
      <c r="L642" t="s">
        <v>197</v>
      </c>
      <c r="M642" t="s">
        <v>198</v>
      </c>
      <c r="N642" t="s">
        <v>199</v>
      </c>
      <c r="O642" t="s">
        <v>200</v>
      </c>
      <c r="P642" t="s">
        <v>13</v>
      </c>
      <c r="Q642" t="s">
        <v>14</v>
      </c>
      <c r="R642" t="s">
        <v>341</v>
      </c>
      <c r="S642" t="s">
        <v>7</v>
      </c>
      <c r="T642" t="s">
        <v>361</v>
      </c>
      <c r="U642">
        <f>Sales_Order[[#This Row],[Quantity ordered]]*Sales_Order[[#This Row],[Price each]]</f>
        <v>1632.75</v>
      </c>
    </row>
    <row r="643" spans="1:21" x14ac:dyDescent="0.3">
      <c r="A643">
        <v>10195</v>
      </c>
      <c r="B643">
        <v>44</v>
      </c>
      <c r="C643">
        <v>66.47</v>
      </c>
      <c r="D643">
        <v>3</v>
      </c>
      <c r="E643" s="1">
        <v>37950</v>
      </c>
      <c r="F643" t="s">
        <v>0</v>
      </c>
      <c r="G643">
        <v>4</v>
      </c>
      <c r="H643">
        <v>2003</v>
      </c>
      <c r="I643" t="s">
        <v>22</v>
      </c>
      <c r="J643" t="s">
        <v>85</v>
      </c>
      <c r="K643" t="s">
        <v>248</v>
      </c>
      <c r="L643" t="s">
        <v>249</v>
      </c>
      <c r="M643" t="s">
        <v>250</v>
      </c>
      <c r="N643" t="s">
        <v>4</v>
      </c>
      <c r="O643" t="s">
        <v>251</v>
      </c>
      <c r="P643" t="s">
        <v>5</v>
      </c>
      <c r="Q643" t="s">
        <v>6</v>
      </c>
      <c r="R643" t="s">
        <v>356</v>
      </c>
      <c r="S643" t="s">
        <v>7</v>
      </c>
      <c r="T643" t="s">
        <v>334</v>
      </c>
      <c r="U643">
        <f>Sales_Order[[#This Row],[Quantity ordered]]*Sales_Order[[#This Row],[Price each]]</f>
        <v>2924.68</v>
      </c>
    </row>
    <row r="644" spans="1:21" x14ac:dyDescent="0.3">
      <c r="A644">
        <v>10207</v>
      </c>
      <c r="B644">
        <v>49</v>
      </c>
      <c r="C644">
        <v>46.82</v>
      </c>
      <c r="D644">
        <v>4</v>
      </c>
      <c r="E644" s="1">
        <v>37876</v>
      </c>
      <c r="F644" t="s">
        <v>0</v>
      </c>
      <c r="G644">
        <v>4</v>
      </c>
      <c r="H644">
        <v>2003</v>
      </c>
      <c r="I644" t="s">
        <v>22</v>
      </c>
      <c r="J644" t="s">
        <v>85</v>
      </c>
      <c r="K644" t="s">
        <v>277</v>
      </c>
      <c r="L644" t="s">
        <v>278</v>
      </c>
      <c r="M644" t="s">
        <v>265</v>
      </c>
      <c r="N644" t="s">
        <v>181</v>
      </c>
      <c r="O644" t="s">
        <v>266</v>
      </c>
      <c r="P644" t="s">
        <v>5</v>
      </c>
      <c r="Q644" t="s">
        <v>6</v>
      </c>
      <c r="R644" t="s">
        <v>364</v>
      </c>
      <c r="S644" t="s">
        <v>7</v>
      </c>
      <c r="T644" t="s">
        <v>336</v>
      </c>
      <c r="U644">
        <f>Sales_Order[[#This Row],[Quantity ordered]]*Sales_Order[[#This Row],[Price each]]</f>
        <v>2294.1799999999998</v>
      </c>
    </row>
    <row r="645" spans="1:21" x14ac:dyDescent="0.3">
      <c r="A645">
        <v>10271</v>
      </c>
      <c r="B645">
        <v>45</v>
      </c>
      <c r="C645">
        <v>64.739999999999995</v>
      </c>
      <c r="D645">
        <v>2</v>
      </c>
      <c r="E645" s="1">
        <v>38188</v>
      </c>
      <c r="F645" t="s">
        <v>0</v>
      </c>
      <c r="G645">
        <v>3</v>
      </c>
      <c r="H645">
        <v>2004</v>
      </c>
      <c r="I645" t="s">
        <v>22</v>
      </c>
      <c r="J645" t="s">
        <v>85</v>
      </c>
      <c r="K645" t="s">
        <v>225</v>
      </c>
      <c r="L645" t="s">
        <v>226</v>
      </c>
      <c r="M645" t="s">
        <v>227</v>
      </c>
      <c r="N645" t="s">
        <v>161</v>
      </c>
      <c r="O645" t="s">
        <v>177</v>
      </c>
      <c r="P645" t="s">
        <v>5</v>
      </c>
      <c r="Q645" t="s">
        <v>6</v>
      </c>
      <c r="R645" t="s">
        <v>349</v>
      </c>
      <c r="S645" t="s">
        <v>7</v>
      </c>
      <c r="T645" t="s">
        <v>339</v>
      </c>
      <c r="U645">
        <f>Sales_Order[[#This Row],[Quantity ordered]]*Sales_Order[[#This Row],[Price each]]</f>
        <v>2913.2999999999997</v>
      </c>
    </row>
    <row r="646" spans="1:21" x14ac:dyDescent="0.3">
      <c r="A646">
        <v>10282</v>
      </c>
      <c r="B646">
        <v>29</v>
      </c>
      <c r="C646">
        <v>46.82</v>
      </c>
      <c r="D646">
        <v>11</v>
      </c>
      <c r="E646" s="1">
        <v>38219</v>
      </c>
      <c r="F646" t="s">
        <v>0</v>
      </c>
      <c r="G646">
        <v>3</v>
      </c>
      <c r="H646">
        <v>2004</v>
      </c>
      <c r="I646" t="s">
        <v>22</v>
      </c>
      <c r="J646" t="s">
        <v>85</v>
      </c>
      <c r="K646" t="s">
        <v>225</v>
      </c>
      <c r="L646" t="s">
        <v>226</v>
      </c>
      <c r="M646" t="s">
        <v>227</v>
      </c>
      <c r="N646" t="s">
        <v>161</v>
      </c>
      <c r="O646" t="s">
        <v>177</v>
      </c>
      <c r="P646" t="s">
        <v>5</v>
      </c>
      <c r="Q646" t="s">
        <v>6</v>
      </c>
      <c r="R646" t="s">
        <v>349</v>
      </c>
      <c r="S646" t="s">
        <v>7</v>
      </c>
      <c r="T646" t="s">
        <v>322</v>
      </c>
      <c r="U646">
        <f>Sales_Order[[#This Row],[Quantity ordered]]*Sales_Order[[#This Row],[Price each]]</f>
        <v>1357.78</v>
      </c>
    </row>
    <row r="647" spans="1:21" x14ac:dyDescent="0.3">
      <c r="A647">
        <v>10292</v>
      </c>
      <c r="B647">
        <v>40</v>
      </c>
      <c r="C647">
        <v>53.75</v>
      </c>
      <c r="D647">
        <v>5</v>
      </c>
      <c r="E647" s="1">
        <v>38208</v>
      </c>
      <c r="F647" t="s">
        <v>0</v>
      </c>
      <c r="G647">
        <v>3</v>
      </c>
      <c r="H647">
        <v>2004</v>
      </c>
      <c r="I647" t="s">
        <v>22</v>
      </c>
      <c r="J647" t="s">
        <v>85</v>
      </c>
      <c r="K647" t="s">
        <v>155</v>
      </c>
      <c r="L647" t="s">
        <v>156</v>
      </c>
      <c r="M647" t="s">
        <v>3</v>
      </c>
      <c r="N647" t="s">
        <v>4</v>
      </c>
      <c r="O647" t="s">
        <v>135</v>
      </c>
      <c r="P647" t="s">
        <v>5</v>
      </c>
      <c r="Q647" t="s">
        <v>6</v>
      </c>
      <c r="R647" t="s">
        <v>319</v>
      </c>
      <c r="S647" t="s">
        <v>7</v>
      </c>
      <c r="T647" t="s">
        <v>361</v>
      </c>
      <c r="U647">
        <f>Sales_Order[[#This Row],[Quantity ordered]]*Sales_Order[[#This Row],[Price each]]</f>
        <v>2150</v>
      </c>
    </row>
    <row r="648" spans="1:21" x14ac:dyDescent="0.3">
      <c r="A648">
        <v>10305</v>
      </c>
      <c r="B648">
        <v>45</v>
      </c>
      <c r="C648">
        <v>61.85</v>
      </c>
      <c r="D648">
        <v>2</v>
      </c>
      <c r="E648" s="1">
        <v>38273</v>
      </c>
      <c r="F648" t="s">
        <v>0</v>
      </c>
      <c r="G648">
        <v>4</v>
      </c>
      <c r="H648">
        <v>2004</v>
      </c>
      <c r="I648" t="s">
        <v>22</v>
      </c>
      <c r="J648" t="s">
        <v>85</v>
      </c>
      <c r="K648" t="s">
        <v>178</v>
      </c>
      <c r="L648" t="s">
        <v>179</v>
      </c>
      <c r="M648" t="s">
        <v>180</v>
      </c>
      <c r="N648" t="s">
        <v>181</v>
      </c>
      <c r="O648" t="s">
        <v>182</v>
      </c>
      <c r="P648" t="s">
        <v>5</v>
      </c>
      <c r="Q648" t="s">
        <v>6</v>
      </c>
      <c r="R648" t="s">
        <v>332</v>
      </c>
      <c r="S648" t="s">
        <v>7</v>
      </c>
      <c r="T648" t="s">
        <v>324</v>
      </c>
      <c r="U648">
        <f>Sales_Order[[#This Row],[Quantity ordered]]*Sales_Order[[#This Row],[Price each]]</f>
        <v>2783.25</v>
      </c>
    </row>
    <row r="649" spans="1:21" x14ac:dyDescent="0.3">
      <c r="A649">
        <v>10324</v>
      </c>
      <c r="B649">
        <v>25</v>
      </c>
      <c r="C649">
        <v>69.16</v>
      </c>
      <c r="D649">
        <v>14</v>
      </c>
      <c r="E649" s="1">
        <v>38118</v>
      </c>
      <c r="F649" t="s">
        <v>0</v>
      </c>
      <c r="G649">
        <v>4</v>
      </c>
      <c r="H649">
        <v>2004</v>
      </c>
      <c r="I649" t="s">
        <v>22</v>
      </c>
      <c r="J649" t="s">
        <v>85</v>
      </c>
      <c r="K649" t="s">
        <v>15</v>
      </c>
      <c r="L649" t="s">
        <v>16</v>
      </c>
      <c r="M649" t="s">
        <v>3</v>
      </c>
      <c r="N649" t="s">
        <v>4</v>
      </c>
      <c r="O649" t="s">
        <v>135</v>
      </c>
      <c r="P649" t="s">
        <v>5</v>
      </c>
      <c r="Q649" t="s">
        <v>6</v>
      </c>
      <c r="R649" t="s">
        <v>326</v>
      </c>
      <c r="S649" t="s">
        <v>7</v>
      </c>
      <c r="T649" t="s">
        <v>334</v>
      </c>
      <c r="U649">
        <f>Sales_Order[[#This Row],[Quantity ordered]]*Sales_Order[[#This Row],[Price each]]</f>
        <v>1729</v>
      </c>
    </row>
    <row r="650" spans="1:21" x14ac:dyDescent="0.3">
      <c r="A650">
        <v>10349</v>
      </c>
      <c r="B650">
        <v>48</v>
      </c>
      <c r="C650">
        <v>47.4</v>
      </c>
      <c r="D650">
        <v>4</v>
      </c>
      <c r="E650" s="1">
        <v>37998</v>
      </c>
      <c r="F650" t="s">
        <v>0</v>
      </c>
      <c r="G650">
        <v>4</v>
      </c>
      <c r="H650">
        <v>2004</v>
      </c>
      <c r="I650" t="s">
        <v>22</v>
      </c>
      <c r="J650" t="s">
        <v>85</v>
      </c>
      <c r="K650" t="s">
        <v>36</v>
      </c>
      <c r="L650" t="s">
        <v>37</v>
      </c>
      <c r="M650" t="s">
        <v>3</v>
      </c>
      <c r="N650" t="s">
        <v>4</v>
      </c>
      <c r="O650" t="s">
        <v>135</v>
      </c>
      <c r="P650" t="s">
        <v>5</v>
      </c>
      <c r="Q650" t="s">
        <v>6</v>
      </c>
      <c r="R650" t="s">
        <v>366</v>
      </c>
      <c r="S650" t="s">
        <v>7</v>
      </c>
      <c r="T650" t="s">
        <v>336</v>
      </c>
      <c r="U650">
        <f>Sales_Order[[#This Row],[Quantity ordered]]*Sales_Order[[#This Row],[Price each]]</f>
        <v>2275.1999999999998</v>
      </c>
    </row>
    <row r="651" spans="1:21" x14ac:dyDescent="0.3">
      <c r="A651">
        <v>10371</v>
      </c>
      <c r="B651">
        <v>25</v>
      </c>
      <c r="C651">
        <v>97.27</v>
      </c>
      <c r="D651">
        <v>12</v>
      </c>
      <c r="E651" s="1">
        <v>38375</v>
      </c>
      <c r="F651" t="s">
        <v>0</v>
      </c>
      <c r="G651">
        <v>1</v>
      </c>
      <c r="H651">
        <v>2005</v>
      </c>
      <c r="I651" t="s">
        <v>22</v>
      </c>
      <c r="J651" t="s">
        <v>85</v>
      </c>
      <c r="K651" t="s">
        <v>225</v>
      </c>
      <c r="L651" t="s">
        <v>226</v>
      </c>
      <c r="M651" t="s">
        <v>227</v>
      </c>
      <c r="N651" t="s">
        <v>161</v>
      </c>
      <c r="O651" t="s">
        <v>177</v>
      </c>
      <c r="P651" t="s">
        <v>5</v>
      </c>
      <c r="Q651" t="s">
        <v>6</v>
      </c>
      <c r="R651" t="s">
        <v>349</v>
      </c>
      <c r="S651" t="s">
        <v>7</v>
      </c>
      <c r="T651" t="s">
        <v>345</v>
      </c>
      <c r="U651">
        <f>Sales_Order[[#This Row],[Quantity ordered]]*Sales_Order[[#This Row],[Price each]]</f>
        <v>2431.75</v>
      </c>
    </row>
    <row r="652" spans="1:21" x14ac:dyDescent="0.3">
      <c r="A652">
        <v>10107</v>
      </c>
      <c r="B652">
        <v>25</v>
      </c>
      <c r="C652">
        <v>100</v>
      </c>
      <c r="D652">
        <v>3</v>
      </c>
      <c r="E652" s="1">
        <v>37676</v>
      </c>
      <c r="F652" t="s">
        <v>0</v>
      </c>
      <c r="G652">
        <v>1</v>
      </c>
      <c r="H652">
        <v>2003</v>
      </c>
      <c r="I652" t="s">
        <v>1</v>
      </c>
      <c r="J652" t="s">
        <v>86</v>
      </c>
      <c r="K652" t="s">
        <v>155</v>
      </c>
      <c r="L652" t="s">
        <v>156</v>
      </c>
      <c r="M652" t="s">
        <v>3</v>
      </c>
      <c r="N652" t="s">
        <v>4</v>
      </c>
      <c r="O652" t="s">
        <v>135</v>
      </c>
      <c r="P652" t="s">
        <v>5</v>
      </c>
      <c r="Q652" t="s">
        <v>6</v>
      </c>
      <c r="R652" t="s">
        <v>319</v>
      </c>
      <c r="S652" t="s">
        <v>7</v>
      </c>
      <c r="T652" t="s">
        <v>320</v>
      </c>
      <c r="U652">
        <f>Sales_Order[[#This Row],[Quantity ordered]]*Sales_Order[[#This Row],[Price each]]</f>
        <v>2500</v>
      </c>
    </row>
    <row r="653" spans="1:21" x14ac:dyDescent="0.3">
      <c r="A653">
        <v>10120</v>
      </c>
      <c r="B653">
        <v>35</v>
      </c>
      <c r="C653">
        <v>98.05</v>
      </c>
      <c r="D653">
        <v>1</v>
      </c>
      <c r="E653" s="1">
        <v>37740</v>
      </c>
      <c r="F653" t="s">
        <v>0</v>
      </c>
      <c r="G653">
        <v>2</v>
      </c>
      <c r="H653">
        <v>2003</v>
      </c>
      <c r="I653" t="s">
        <v>1</v>
      </c>
      <c r="J653" t="s">
        <v>86</v>
      </c>
      <c r="K653" t="s">
        <v>9</v>
      </c>
      <c r="L653" t="s">
        <v>10</v>
      </c>
      <c r="M653" t="s">
        <v>11</v>
      </c>
      <c r="N653" t="s">
        <v>12</v>
      </c>
      <c r="O653" t="s">
        <v>134</v>
      </c>
      <c r="P653" t="s">
        <v>13</v>
      </c>
      <c r="Q653" t="s">
        <v>14</v>
      </c>
      <c r="R653" t="s">
        <v>325</v>
      </c>
      <c r="S653" t="s">
        <v>8</v>
      </c>
      <c r="T653" t="s">
        <v>327</v>
      </c>
      <c r="U653">
        <f>Sales_Order[[#This Row],[Quantity ordered]]*Sales_Order[[#This Row],[Price each]]</f>
        <v>3431.75</v>
      </c>
    </row>
    <row r="654" spans="1:21" x14ac:dyDescent="0.3">
      <c r="A654">
        <v>10145</v>
      </c>
      <c r="B654">
        <v>43</v>
      </c>
      <c r="C654">
        <v>95.8</v>
      </c>
      <c r="D654">
        <v>7</v>
      </c>
      <c r="E654" s="1">
        <v>37858</v>
      </c>
      <c r="F654" t="s">
        <v>0</v>
      </c>
      <c r="G654">
        <v>3</v>
      </c>
      <c r="H654">
        <v>2003</v>
      </c>
      <c r="I654" t="s">
        <v>1</v>
      </c>
      <c r="J654" t="s">
        <v>86</v>
      </c>
      <c r="K654" t="s">
        <v>158</v>
      </c>
      <c r="L654" t="s">
        <v>159</v>
      </c>
      <c r="M654" t="s">
        <v>160</v>
      </c>
      <c r="N654" t="s">
        <v>161</v>
      </c>
      <c r="O654" t="s">
        <v>162</v>
      </c>
      <c r="P654" t="s">
        <v>5</v>
      </c>
      <c r="Q654" t="s">
        <v>6</v>
      </c>
      <c r="R654" t="s">
        <v>321</v>
      </c>
      <c r="S654" t="s">
        <v>8</v>
      </c>
      <c r="T654" t="s">
        <v>322</v>
      </c>
      <c r="U654">
        <f>Sales_Order[[#This Row],[Quantity ordered]]*Sales_Order[[#This Row],[Price each]]</f>
        <v>4119.3999999999996</v>
      </c>
    </row>
    <row r="655" spans="1:21" x14ac:dyDescent="0.3">
      <c r="A655">
        <v>10168</v>
      </c>
      <c r="B655">
        <v>50</v>
      </c>
      <c r="C655">
        <v>100</v>
      </c>
      <c r="D655">
        <v>2</v>
      </c>
      <c r="E655" s="1">
        <v>37922</v>
      </c>
      <c r="F655" t="s">
        <v>0</v>
      </c>
      <c r="G655">
        <v>4</v>
      </c>
      <c r="H655">
        <v>2003</v>
      </c>
      <c r="I655" t="s">
        <v>1</v>
      </c>
      <c r="J655" t="s">
        <v>86</v>
      </c>
      <c r="K655" t="s">
        <v>163</v>
      </c>
      <c r="L655" t="s">
        <v>164</v>
      </c>
      <c r="M655" t="s">
        <v>165</v>
      </c>
      <c r="N655" t="s">
        <v>161</v>
      </c>
      <c r="O655" t="s">
        <v>166</v>
      </c>
      <c r="P655" t="s">
        <v>5</v>
      </c>
      <c r="Q655" t="s">
        <v>6</v>
      </c>
      <c r="R655" t="s">
        <v>323</v>
      </c>
      <c r="S655" t="s">
        <v>8</v>
      </c>
      <c r="T655" t="s">
        <v>324</v>
      </c>
      <c r="U655">
        <f>Sales_Order[[#This Row],[Quantity ordered]]*Sales_Order[[#This Row],[Price each]]</f>
        <v>5000</v>
      </c>
    </row>
    <row r="656" spans="1:21" x14ac:dyDescent="0.3">
      <c r="A656">
        <v>10223</v>
      </c>
      <c r="B656">
        <v>32</v>
      </c>
      <c r="C656">
        <v>91.29</v>
      </c>
      <c r="D656">
        <v>2</v>
      </c>
      <c r="E656" s="1">
        <v>38037</v>
      </c>
      <c r="F656" t="s">
        <v>0</v>
      </c>
      <c r="G656">
        <v>1</v>
      </c>
      <c r="H656">
        <v>2004</v>
      </c>
      <c r="I656" t="s">
        <v>1</v>
      </c>
      <c r="J656" t="s">
        <v>86</v>
      </c>
      <c r="K656" t="s">
        <v>9</v>
      </c>
      <c r="L656" t="s">
        <v>10</v>
      </c>
      <c r="M656" t="s">
        <v>11</v>
      </c>
      <c r="N656" t="s">
        <v>12</v>
      </c>
      <c r="O656" t="s">
        <v>134</v>
      </c>
      <c r="P656" t="s">
        <v>13</v>
      </c>
      <c r="Q656" t="s">
        <v>14</v>
      </c>
      <c r="R656" t="s">
        <v>325</v>
      </c>
      <c r="S656" t="s">
        <v>7</v>
      </c>
      <c r="T656" t="s">
        <v>320</v>
      </c>
      <c r="U656">
        <f>Sales_Order[[#This Row],[Quantity ordered]]*Sales_Order[[#This Row],[Price each]]</f>
        <v>2921.28</v>
      </c>
    </row>
    <row r="657" spans="1:21" x14ac:dyDescent="0.3">
      <c r="A657">
        <v>10237</v>
      </c>
      <c r="B657">
        <v>20</v>
      </c>
      <c r="C657">
        <v>100</v>
      </c>
      <c r="D657">
        <v>8</v>
      </c>
      <c r="E657" s="1">
        <v>38111</v>
      </c>
      <c r="F657" t="s">
        <v>0</v>
      </c>
      <c r="G657">
        <v>2</v>
      </c>
      <c r="H657">
        <v>2004</v>
      </c>
      <c r="I657" t="s">
        <v>1</v>
      </c>
      <c r="J657" t="s">
        <v>86</v>
      </c>
      <c r="K657" t="s">
        <v>15</v>
      </c>
      <c r="L657" t="s">
        <v>16</v>
      </c>
      <c r="M657" t="s">
        <v>3</v>
      </c>
      <c r="N657" t="s">
        <v>4</v>
      </c>
      <c r="O657" t="s">
        <v>135</v>
      </c>
      <c r="P657" t="s">
        <v>5</v>
      </c>
      <c r="Q657" t="s">
        <v>6</v>
      </c>
      <c r="R657" t="s">
        <v>326</v>
      </c>
      <c r="S657" t="s">
        <v>7</v>
      </c>
      <c r="T657" t="s">
        <v>327</v>
      </c>
      <c r="U657">
        <f>Sales_Order[[#This Row],[Quantity ordered]]*Sales_Order[[#This Row],[Price each]]</f>
        <v>2000</v>
      </c>
    </row>
    <row r="658" spans="1:21" x14ac:dyDescent="0.3">
      <c r="A658">
        <v>10251</v>
      </c>
      <c r="B658">
        <v>26</v>
      </c>
      <c r="C658">
        <v>100</v>
      </c>
      <c r="D658">
        <v>3</v>
      </c>
      <c r="E658" s="1">
        <v>38125</v>
      </c>
      <c r="F658" t="s">
        <v>0</v>
      </c>
      <c r="G658">
        <v>2</v>
      </c>
      <c r="H658">
        <v>2004</v>
      </c>
      <c r="I658" t="s">
        <v>1</v>
      </c>
      <c r="J658" t="s">
        <v>86</v>
      </c>
      <c r="K658" t="s">
        <v>168</v>
      </c>
      <c r="L658" t="s">
        <v>169</v>
      </c>
      <c r="M658" t="s">
        <v>170</v>
      </c>
      <c r="N658" t="s">
        <v>171</v>
      </c>
      <c r="O658" t="s">
        <v>172</v>
      </c>
      <c r="P658" t="s">
        <v>5</v>
      </c>
      <c r="Q658" t="s">
        <v>6</v>
      </c>
      <c r="R658" t="s">
        <v>328</v>
      </c>
      <c r="S658" t="s">
        <v>7</v>
      </c>
      <c r="T658" t="s">
        <v>329</v>
      </c>
      <c r="U658">
        <f>Sales_Order[[#This Row],[Quantity ordered]]*Sales_Order[[#This Row],[Price each]]</f>
        <v>2600</v>
      </c>
    </row>
    <row r="659" spans="1:21" x14ac:dyDescent="0.3">
      <c r="A659">
        <v>10263</v>
      </c>
      <c r="B659">
        <v>42</v>
      </c>
      <c r="C659">
        <v>100</v>
      </c>
      <c r="D659">
        <v>3</v>
      </c>
      <c r="E659" s="1">
        <v>38166</v>
      </c>
      <c r="F659" t="s">
        <v>0</v>
      </c>
      <c r="G659">
        <v>2</v>
      </c>
      <c r="H659">
        <v>2004</v>
      </c>
      <c r="I659" t="s">
        <v>1</v>
      </c>
      <c r="J659" t="s">
        <v>86</v>
      </c>
      <c r="K659" t="s">
        <v>173</v>
      </c>
      <c r="L659" t="s">
        <v>174</v>
      </c>
      <c r="M659" t="s">
        <v>175</v>
      </c>
      <c r="N659" t="s">
        <v>176</v>
      </c>
      <c r="O659" t="s">
        <v>177</v>
      </c>
      <c r="P659" t="s">
        <v>5</v>
      </c>
      <c r="Q659" t="s">
        <v>6</v>
      </c>
      <c r="R659" t="s">
        <v>330</v>
      </c>
      <c r="S659" t="s">
        <v>8</v>
      </c>
      <c r="T659" t="s">
        <v>331</v>
      </c>
      <c r="U659">
        <f>Sales_Order[[#This Row],[Quantity ordered]]*Sales_Order[[#This Row],[Price each]]</f>
        <v>4200</v>
      </c>
    </row>
    <row r="660" spans="1:21" x14ac:dyDescent="0.3">
      <c r="A660">
        <v>10285</v>
      </c>
      <c r="B660">
        <v>34</v>
      </c>
      <c r="C660">
        <v>100</v>
      </c>
      <c r="D660">
        <v>7</v>
      </c>
      <c r="E660" s="1">
        <v>38226</v>
      </c>
      <c r="F660" t="s">
        <v>0</v>
      </c>
      <c r="G660">
        <v>3</v>
      </c>
      <c r="H660">
        <v>2004</v>
      </c>
      <c r="I660" t="s">
        <v>1</v>
      </c>
      <c r="J660" t="s">
        <v>86</v>
      </c>
      <c r="K660" t="s">
        <v>178</v>
      </c>
      <c r="L660" t="s">
        <v>179</v>
      </c>
      <c r="M660" t="s">
        <v>180</v>
      </c>
      <c r="N660" t="s">
        <v>181</v>
      </c>
      <c r="O660" t="s">
        <v>182</v>
      </c>
      <c r="P660" t="s">
        <v>5</v>
      </c>
      <c r="Q660" t="s">
        <v>6</v>
      </c>
      <c r="R660" t="s">
        <v>332</v>
      </c>
      <c r="S660" t="s">
        <v>8</v>
      </c>
      <c r="T660" t="s">
        <v>322</v>
      </c>
      <c r="U660">
        <f>Sales_Order[[#This Row],[Quantity ordered]]*Sales_Order[[#This Row],[Price each]]</f>
        <v>3400</v>
      </c>
    </row>
    <row r="661" spans="1:21" x14ac:dyDescent="0.3">
      <c r="A661">
        <v>10318</v>
      </c>
      <c r="B661">
        <v>48</v>
      </c>
      <c r="C661">
        <v>100</v>
      </c>
      <c r="D661">
        <v>2</v>
      </c>
      <c r="E661" s="1">
        <v>38028</v>
      </c>
      <c r="F661" t="s">
        <v>0</v>
      </c>
      <c r="G661">
        <v>4</v>
      </c>
      <c r="H661">
        <v>2004</v>
      </c>
      <c r="I661" t="s">
        <v>1</v>
      </c>
      <c r="J661" t="s">
        <v>86</v>
      </c>
      <c r="K661" t="s">
        <v>183</v>
      </c>
      <c r="L661" t="s">
        <v>184</v>
      </c>
      <c r="M661" t="s">
        <v>185</v>
      </c>
      <c r="N661" t="s">
        <v>186</v>
      </c>
      <c r="O661" t="s">
        <v>187</v>
      </c>
      <c r="P661" t="s">
        <v>5</v>
      </c>
      <c r="Q661" t="s">
        <v>6</v>
      </c>
      <c r="R661" t="s">
        <v>333</v>
      </c>
      <c r="S661" t="s">
        <v>8</v>
      </c>
      <c r="T661" t="s">
        <v>334</v>
      </c>
      <c r="U661">
        <f>Sales_Order[[#This Row],[Quantity ordered]]*Sales_Order[[#This Row],[Price each]]</f>
        <v>4800</v>
      </c>
    </row>
    <row r="662" spans="1:21" x14ac:dyDescent="0.3">
      <c r="A662">
        <v>10329</v>
      </c>
      <c r="B662">
        <v>30</v>
      </c>
      <c r="C662">
        <v>87.78</v>
      </c>
      <c r="D662">
        <v>7</v>
      </c>
      <c r="E662" s="1">
        <v>38306</v>
      </c>
      <c r="F662" t="s">
        <v>0</v>
      </c>
      <c r="G662">
        <v>4</v>
      </c>
      <c r="H662">
        <v>2004</v>
      </c>
      <c r="I662" t="s">
        <v>1</v>
      </c>
      <c r="J662" t="s">
        <v>86</v>
      </c>
      <c r="K662" t="s">
        <v>155</v>
      </c>
      <c r="L662" t="s">
        <v>156</v>
      </c>
      <c r="M662" t="s">
        <v>3</v>
      </c>
      <c r="N662" t="s">
        <v>4</v>
      </c>
      <c r="O662" t="s">
        <v>135</v>
      </c>
      <c r="P662" t="s">
        <v>5</v>
      </c>
      <c r="Q662" t="s">
        <v>6</v>
      </c>
      <c r="R662" t="s">
        <v>319</v>
      </c>
      <c r="S662" t="s">
        <v>7</v>
      </c>
      <c r="T662" t="s">
        <v>334</v>
      </c>
      <c r="U662">
        <f>Sales_Order[[#This Row],[Quantity ordered]]*Sales_Order[[#This Row],[Price each]]</f>
        <v>2633.4</v>
      </c>
    </row>
    <row r="663" spans="1:21" x14ac:dyDescent="0.3">
      <c r="A663">
        <v>10339</v>
      </c>
      <c r="B663">
        <v>27</v>
      </c>
      <c r="C663">
        <v>84.39</v>
      </c>
      <c r="D663">
        <v>10</v>
      </c>
      <c r="E663" s="1">
        <v>38314</v>
      </c>
      <c r="F663" t="s">
        <v>0</v>
      </c>
      <c r="G663">
        <v>4</v>
      </c>
      <c r="H663">
        <v>2004</v>
      </c>
      <c r="I663" t="s">
        <v>1</v>
      </c>
      <c r="J663" t="s">
        <v>86</v>
      </c>
      <c r="K663" t="s">
        <v>220</v>
      </c>
      <c r="L663" t="s">
        <v>221</v>
      </c>
      <c r="M663" t="s">
        <v>222</v>
      </c>
      <c r="N663" t="s">
        <v>223</v>
      </c>
      <c r="O663" t="s">
        <v>224</v>
      </c>
      <c r="P663" t="s">
        <v>195</v>
      </c>
      <c r="Q663" t="s">
        <v>195</v>
      </c>
      <c r="R663" t="s">
        <v>348</v>
      </c>
      <c r="S663" t="s">
        <v>7</v>
      </c>
      <c r="T663" t="s">
        <v>334</v>
      </c>
      <c r="U663">
        <f>Sales_Order[[#This Row],[Quantity ordered]]*Sales_Order[[#This Row],[Price each]]</f>
        <v>2278.5300000000002</v>
      </c>
    </row>
    <row r="664" spans="1:21" x14ac:dyDescent="0.3">
      <c r="A664">
        <v>10362</v>
      </c>
      <c r="B664">
        <v>50</v>
      </c>
      <c r="C664">
        <v>96.92</v>
      </c>
      <c r="D664">
        <v>2</v>
      </c>
      <c r="E664" s="1">
        <v>38473</v>
      </c>
      <c r="F664" t="s">
        <v>0</v>
      </c>
      <c r="G664">
        <v>1</v>
      </c>
      <c r="H664">
        <v>2005</v>
      </c>
      <c r="I664" t="s">
        <v>1</v>
      </c>
      <c r="J664" t="s">
        <v>86</v>
      </c>
      <c r="K664" t="s">
        <v>163</v>
      </c>
      <c r="L664" t="s">
        <v>164</v>
      </c>
      <c r="M664" t="s">
        <v>165</v>
      </c>
      <c r="N664" t="s">
        <v>161</v>
      </c>
      <c r="O664" t="s">
        <v>166</v>
      </c>
      <c r="P664" t="s">
        <v>5</v>
      </c>
      <c r="Q664" t="s">
        <v>6</v>
      </c>
      <c r="R664" t="s">
        <v>323</v>
      </c>
      <c r="S664" t="s">
        <v>8</v>
      </c>
      <c r="T664" t="s">
        <v>345</v>
      </c>
      <c r="U664">
        <f>Sales_Order[[#This Row],[Quantity ordered]]*Sales_Order[[#This Row],[Price each]]</f>
        <v>4846</v>
      </c>
    </row>
    <row r="665" spans="1:21" x14ac:dyDescent="0.3">
      <c r="A665">
        <v>10374</v>
      </c>
      <c r="B665">
        <v>38</v>
      </c>
      <c r="C665">
        <v>100</v>
      </c>
      <c r="D665">
        <v>6</v>
      </c>
      <c r="E665" s="1">
        <v>38385</v>
      </c>
      <c r="F665" t="s">
        <v>0</v>
      </c>
      <c r="G665">
        <v>1</v>
      </c>
      <c r="H665">
        <v>2005</v>
      </c>
      <c r="I665" t="s">
        <v>1</v>
      </c>
      <c r="J665" t="s">
        <v>86</v>
      </c>
      <c r="K665" t="s">
        <v>196</v>
      </c>
      <c r="L665" t="s">
        <v>197</v>
      </c>
      <c r="M665" t="s">
        <v>198</v>
      </c>
      <c r="N665" t="s">
        <v>199</v>
      </c>
      <c r="O665" t="s">
        <v>200</v>
      </c>
      <c r="P665" t="s">
        <v>13</v>
      </c>
      <c r="Q665" t="s">
        <v>14</v>
      </c>
      <c r="R665" t="s">
        <v>341</v>
      </c>
      <c r="S665" t="s">
        <v>8</v>
      </c>
      <c r="T665" t="s">
        <v>320</v>
      </c>
      <c r="U665">
        <f>Sales_Order[[#This Row],[Quantity ordered]]*Sales_Order[[#This Row],[Price each]]</f>
        <v>3800</v>
      </c>
    </row>
    <row r="666" spans="1:21" x14ac:dyDescent="0.3">
      <c r="A666">
        <v>10148</v>
      </c>
      <c r="B666">
        <v>47</v>
      </c>
      <c r="C666">
        <v>56.85</v>
      </c>
      <c r="D666">
        <v>8</v>
      </c>
      <c r="E666" s="1">
        <v>37934</v>
      </c>
      <c r="F666" t="s">
        <v>0</v>
      </c>
      <c r="G666">
        <v>3</v>
      </c>
      <c r="H666">
        <v>2003</v>
      </c>
      <c r="I666" t="s">
        <v>22</v>
      </c>
      <c r="J666" t="s">
        <v>87</v>
      </c>
      <c r="K666" t="s">
        <v>26</v>
      </c>
      <c r="L666" t="s">
        <v>27</v>
      </c>
      <c r="M666" t="s">
        <v>28</v>
      </c>
      <c r="N666" t="s">
        <v>21</v>
      </c>
      <c r="O666" t="s">
        <v>137</v>
      </c>
      <c r="P666" t="s">
        <v>13</v>
      </c>
      <c r="Q666" t="s">
        <v>14</v>
      </c>
      <c r="R666" t="s">
        <v>352</v>
      </c>
      <c r="S666" t="s">
        <v>7</v>
      </c>
      <c r="T666" t="s">
        <v>361</v>
      </c>
      <c r="U666">
        <f>Sales_Order[[#This Row],[Quantity ordered]]*Sales_Order[[#This Row],[Price each]]</f>
        <v>2671.9500000000003</v>
      </c>
    </row>
    <row r="667" spans="1:21" x14ac:dyDescent="0.3">
      <c r="A667">
        <v>10172</v>
      </c>
      <c r="B667">
        <v>34</v>
      </c>
      <c r="C667">
        <v>42.76</v>
      </c>
      <c r="D667">
        <v>5</v>
      </c>
      <c r="E667" s="1">
        <v>37752</v>
      </c>
      <c r="F667" t="s">
        <v>0</v>
      </c>
      <c r="G667">
        <v>4</v>
      </c>
      <c r="H667">
        <v>2003</v>
      </c>
      <c r="I667" t="s">
        <v>22</v>
      </c>
      <c r="J667" t="s">
        <v>87</v>
      </c>
      <c r="K667" t="s">
        <v>173</v>
      </c>
      <c r="L667" t="s">
        <v>174</v>
      </c>
      <c r="M667" t="s">
        <v>175</v>
      </c>
      <c r="N667" t="s">
        <v>176</v>
      </c>
      <c r="O667" t="s">
        <v>177</v>
      </c>
      <c r="P667" t="s">
        <v>5</v>
      </c>
      <c r="Q667" t="s">
        <v>6</v>
      </c>
      <c r="R667" t="s">
        <v>330</v>
      </c>
      <c r="S667" t="s">
        <v>7</v>
      </c>
      <c r="T667" t="s">
        <v>334</v>
      </c>
      <c r="U667">
        <f>Sales_Order[[#This Row],[Quantity ordered]]*Sales_Order[[#This Row],[Price each]]</f>
        <v>1453.84</v>
      </c>
    </row>
    <row r="668" spans="1:21" x14ac:dyDescent="0.3">
      <c r="A668">
        <v>10192</v>
      </c>
      <c r="B668">
        <v>47</v>
      </c>
      <c r="C668">
        <v>53.83</v>
      </c>
      <c r="D668">
        <v>6</v>
      </c>
      <c r="E668" s="1">
        <v>37945</v>
      </c>
      <c r="F668" t="s">
        <v>0</v>
      </c>
      <c r="G668">
        <v>4</v>
      </c>
      <c r="H668">
        <v>2003</v>
      </c>
      <c r="I668" t="s">
        <v>22</v>
      </c>
      <c r="J668" t="s">
        <v>87</v>
      </c>
      <c r="K668" t="s">
        <v>228</v>
      </c>
      <c r="L668" t="s">
        <v>229</v>
      </c>
      <c r="M668" t="s">
        <v>230</v>
      </c>
      <c r="N668" t="s">
        <v>231</v>
      </c>
      <c r="O668" t="s">
        <v>232</v>
      </c>
      <c r="P668" t="s">
        <v>5</v>
      </c>
      <c r="Q668" t="s">
        <v>6</v>
      </c>
      <c r="R668" t="s">
        <v>350</v>
      </c>
      <c r="S668" t="s">
        <v>7</v>
      </c>
      <c r="T668" t="s">
        <v>334</v>
      </c>
      <c r="U668">
        <f>Sales_Order[[#This Row],[Quantity ordered]]*Sales_Order[[#This Row],[Price each]]</f>
        <v>2530.0099999999998</v>
      </c>
    </row>
    <row r="669" spans="1:21" x14ac:dyDescent="0.3">
      <c r="A669">
        <v>10204</v>
      </c>
      <c r="B669">
        <v>45</v>
      </c>
      <c r="C669">
        <v>49.81</v>
      </c>
      <c r="D669">
        <v>12</v>
      </c>
      <c r="E669" s="1">
        <v>37664</v>
      </c>
      <c r="F669" t="s">
        <v>0</v>
      </c>
      <c r="G669">
        <v>4</v>
      </c>
      <c r="H669">
        <v>2003</v>
      </c>
      <c r="I669" t="s">
        <v>22</v>
      </c>
      <c r="J669" t="s">
        <v>87</v>
      </c>
      <c r="K669" t="s">
        <v>36</v>
      </c>
      <c r="L669" t="s">
        <v>37</v>
      </c>
      <c r="M669" t="s">
        <v>3</v>
      </c>
      <c r="N669" t="s">
        <v>4</v>
      </c>
      <c r="O669" t="s">
        <v>135</v>
      </c>
      <c r="P669" t="s">
        <v>5</v>
      </c>
      <c r="Q669" t="s">
        <v>6</v>
      </c>
      <c r="R669" t="s">
        <v>366</v>
      </c>
      <c r="S669" t="s">
        <v>7</v>
      </c>
      <c r="T669" t="s">
        <v>336</v>
      </c>
      <c r="U669">
        <f>Sales_Order[[#This Row],[Quantity ordered]]*Sales_Order[[#This Row],[Price each]]</f>
        <v>2241.4500000000003</v>
      </c>
    </row>
    <row r="670" spans="1:21" x14ac:dyDescent="0.3">
      <c r="A670">
        <v>10226</v>
      </c>
      <c r="B670">
        <v>36</v>
      </c>
      <c r="C670">
        <v>43.27</v>
      </c>
      <c r="D670">
        <v>3</v>
      </c>
      <c r="E670" s="1">
        <v>38043</v>
      </c>
      <c r="F670" t="s">
        <v>0</v>
      </c>
      <c r="G670">
        <v>1</v>
      </c>
      <c r="H670">
        <v>2004</v>
      </c>
      <c r="I670" t="s">
        <v>22</v>
      </c>
      <c r="J670" t="s">
        <v>87</v>
      </c>
      <c r="K670" t="s">
        <v>255</v>
      </c>
      <c r="L670" t="s">
        <v>256</v>
      </c>
      <c r="M670" t="s">
        <v>257</v>
      </c>
      <c r="N670" t="s">
        <v>161</v>
      </c>
      <c r="O670" t="s">
        <v>258</v>
      </c>
      <c r="P670" t="s">
        <v>5</v>
      </c>
      <c r="Q670" t="s">
        <v>6</v>
      </c>
      <c r="R670" t="s">
        <v>358</v>
      </c>
      <c r="S670" t="s">
        <v>7</v>
      </c>
      <c r="T670" t="s">
        <v>320</v>
      </c>
      <c r="U670">
        <f>Sales_Order[[#This Row],[Quantity ordered]]*Sales_Order[[#This Row],[Price each]]</f>
        <v>1557.72</v>
      </c>
    </row>
    <row r="671" spans="1:21" x14ac:dyDescent="0.3">
      <c r="A671">
        <v>10278</v>
      </c>
      <c r="B671">
        <v>35</v>
      </c>
      <c r="C671">
        <v>45.28</v>
      </c>
      <c r="D671">
        <v>1</v>
      </c>
      <c r="E671" s="1">
        <v>38146</v>
      </c>
      <c r="F671" t="s">
        <v>0</v>
      </c>
      <c r="G671">
        <v>3</v>
      </c>
      <c r="H671">
        <v>2004</v>
      </c>
      <c r="I671" t="s">
        <v>22</v>
      </c>
      <c r="J671" t="s">
        <v>87</v>
      </c>
      <c r="K671" t="s">
        <v>290</v>
      </c>
      <c r="L671" t="s">
        <v>291</v>
      </c>
      <c r="M671" t="s">
        <v>292</v>
      </c>
      <c r="N671" t="s">
        <v>293</v>
      </c>
      <c r="O671" t="s">
        <v>294</v>
      </c>
      <c r="P671" t="s">
        <v>5</v>
      </c>
      <c r="Q671" t="s">
        <v>6</v>
      </c>
      <c r="R671" t="s">
        <v>370</v>
      </c>
      <c r="S671" t="s">
        <v>7</v>
      </c>
      <c r="T671" t="s">
        <v>322</v>
      </c>
      <c r="U671">
        <f>Sales_Order[[#This Row],[Quantity ordered]]*Sales_Order[[#This Row],[Price each]]</f>
        <v>1584.8</v>
      </c>
    </row>
    <row r="672" spans="1:21" x14ac:dyDescent="0.3">
      <c r="A672">
        <v>10321</v>
      </c>
      <c r="B672">
        <v>48</v>
      </c>
      <c r="C672">
        <v>42.26</v>
      </c>
      <c r="D672">
        <v>5</v>
      </c>
      <c r="E672" s="1">
        <v>38088</v>
      </c>
      <c r="F672" t="s">
        <v>0</v>
      </c>
      <c r="G672">
        <v>4</v>
      </c>
      <c r="H672">
        <v>2004</v>
      </c>
      <c r="I672" t="s">
        <v>22</v>
      </c>
      <c r="J672" t="s">
        <v>87</v>
      </c>
      <c r="K672" t="s">
        <v>189</v>
      </c>
      <c r="L672" t="s">
        <v>190</v>
      </c>
      <c r="M672" t="s">
        <v>191</v>
      </c>
      <c r="N672" t="s">
        <v>181</v>
      </c>
      <c r="O672" t="s">
        <v>192</v>
      </c>
      <c r="P672" t="s">
        <v>5</v>
      </c>
      <c r="Q672" t="s">
        <v>6</v>
      </c>
      <c r="R672" t="s">
        <v>337</v>
      </c>
      <c r="S672" t="s">
        <v>7</v>
      </c>
      <c r="T672" t="s">
        <v>334</v>
      </c>
      <c r="U672">
        <f>Sales_Order[[#This Row],[Quantity ordered]]*Sales_Order[[#This Row],[Price each]]</f>
        <v>2028.48</v>
      </c>
    </row>
    <row r="673" spans="1:21" x14ac:dyDescent="0.3">
      <c r="A673">
        <v>10367</v>
      </c>
      <c r="B673">
        <v>38</v>
      </c>
      <c r="C673">
        <v>38.5</v>
      </c>
      <c r="D673">
        <v>11</v>
      </c>
      <c r="E673" s="1">
        <v>38687</v>
      </c>
      <c r="F673" t="s">
        <v>276</v>
      </c>
      <c r="G673">
        <v>1</v>
      </c>
      <c r="H673">
        <v>2005</v>
      </c>
      <c r="I673" t="s">
        <v>22</v>
      </c>
      <c r="J673" t="s">
        <v>87</v>
      </c>
      <c r="K673" t="s">
        <v>158</v>
      </c>
      <c r="L673" t="s">
        <v>159</v>
      </c>
      <c r="M673" t="s">
        <v>160</v>
      </c>
      <c r="N673" t="s">
        <v>161</v>
      </c>
      <c r="O673" t="s">
        <v>162</v>
      </c>
      <c r="P673" t="s">
        <v>5</v>
      </c>
      <c r="Q673" t="s">
        <v>6</v>
      </c>
      <c r="R673" t="s">
        <v>321</v>
      </c>
      <c r="S673" t="s">
        <v>7</v>
      </c>
      <c r="T673" t="s">
        <v>345</v>
      </c>
      <c r="U673">
        <f>Sales_Order[[#This Row],[Quantity ordered]]*Sales_Order[[#This Row],[Price each]]</f>
        <v>1463</v>
      </c>
    </row>
    <row r="674" spans="1:21" x14ac:dyDescent="0.3">
      <c r="A674">
        <v>10407</v>
      </c>
      <c r="B674">
        <v>64</v>
      </c>
      <c r="C674">
        <v>40.25</v>
      </c>
      <c r="D674">
        <v>10</v>
      </c>
      <c r="E674" s="1">
        <v>38464</v>
      </c>
      <c r="F674" t="s">
        <v>275</v>
      </c>
      <c r="G674">
        <v>2</v>
      </c>
      <c r="H674">
        <v>2005</v>
      </c>
      <c r="I674" t="s">
        <v>22</v>
      </c>
      <c r="J674" t="s">
        <v>87</v>
      </c>
      <c r="K674" t="s">
        <v>272</v>
      </c>
      <c r="L674" t="s">
        <v>273</v>
      </c>
      <c r="M674" t="s">
        <v>274</v>
      </c>
      <c r="N674" t="s">
        <v>161</v>
      </c>
      <c r="O674" t="s">
        <v>166</v>
      </c>
      <c r="P674" t="s">
        <v>5</v>
      </c>
      <c r="Q674" t="s">
        <v>6</v>
      </c>
      <c r="R674" t="s">
        <v>363</v>
      </c>
      <c r="S674" t="s">
        <v>7</v>
      </c>
      <c r="T674" t="s">
        <v>327</v>
      </c>
      <c r="U674">
        <f>Sales_Order[[#This Row],[Quantity ordered]]*Sales_Order[[#This Row],[Price each]]</f>
        <v>2576</v>
      </c>
    </row>
    <row r="675" spans="1:21" x14ac:dyDescent="0.3">
      <c r="A675">
        <v>10420</v>
      </c>
      <c r="B675">
        <v>37</v>
      </c>
      <c r="C675">
        <v>60.37</v>
      </c>
      <c r="D675">
        <v>13</v>
      </c>
      <c r="E675" s="1">
        <v>38501</v>
      </c>
      <c r="F675" t="s">
        <v>29</v>
      </c>
      <c r="G675">
        <v>2</v>
      </c>
      <c r="H675">
        <v>2005</v>
      </c>
      <c r="I675" t="s">
        <v>22</v>
      </c>
      <c r="J675" t="s">
        <v>87</v>
      </c>
      <c r="K675" t="s">
        <v>18</v>
      </c>
      <c r="L675" t="s">
        <v>19</v>
      </c>
      <c r="M675" t="s">
        <v>20</v>
      </c>
      <c r="N675" t="s">
        <v>21</v>
      </c>
      <c r="O675" t="s">
        <v>136</v>
      </c>
      <c r="P675" t="s">
        <v>13</v>
      </c>
      <c r="Q675" t="s">
        <v>14</v>
      </c>
      <c r="R675" t="s">
        <v>335</v>
      </c>
      <c r="S675" t="s">
        <v>7</v>
      </c>
      <c r="T675" t="s">
        <v>329</v>
      </c>
      <c r="U675">
        <f>Sales_Order[[#This Row],[Quantity ordered]]*Sales_Order[[#This Row],[Price each]]</f>
        <v>2233.69</v>
      </c>
    </row>
    <row r="676" spans="1:21" x14ac:dyDescent="0.3">
      <c r="A676">
        <v>10120</v>
      </c>
      <c r="B676">
        <v>39</v>
      </c>
      <c r="C676">
        <v>100</v>
      </c>
      <c r="D676">
        <v>10</v>
      </c>
      <c r="E676" s="1">
        <v>37740</v>
      </c>
      <c r="F676" t="s">
        <v>0</v>
      </c>
      <c r="G676">
        <v>2</v>
      </c>
      <c r="H676">
        <v>2003</v>
      </c>
      <c r="I676" t="s">
        <v>53</v>
      </c>
      <c r="J676" t="s">
        <v>88</v>
      </c>
      <c r="K676" t="s">
        <v>9</v>
      </c>
      <c r="L676" t="s">
        <v>10</v>
      </c>
      <c r="M676" t="s">
        <v>11</v>
      </c>
      <c r="N676" t="s">
        <v>12</v>
      </c>
      <c r="O676" t="s">
        <v>134</v>
      </c>
      <c r="P676" t="s">
        <v>13</v>
      </c>
      <c r="Q676" t="s">
        <v>14</v>
      </c>
      <c r="R676" t="s">
        <v>325</v>
      </c>
      <c r="S676" t="s">
        <v>8</v>
      </c>
      <c r="T676" t="s">
        <v>327</v>
      </c>
      <c r="U676">
        <f>Sales_Order[[#This Row],[Quantity ordered]]*Sales_Order[[#This Row],[Price each]]</f>
        <v>3900</v>
      </c>
    </row>
    <row r="677" spans="1:21" x14ac:dyDescent="0.3">
      <c r="A677">
        <v>10145</v>
      </c>
      <c r="B677">
        <v>40</v>
      </c>
      <c r="C677">
        <v>87.54</v>
      </c>
      <c r="D677">
        <v>16</v>
      </c>
      <c r="E677" s="1">
        <v>37858</v>
      </c>
      <c r="F677" t="s">
        <v>0</v>
      </c>
      <c r="G677">
        <v>3</v>
      </c>
      <c r="H677">
        <v>2003</v>
      </c>
      <c r="I677" t="s">
        <v>53</v>
      </c>
      <c r="J677" t="s">
        <v>88</v>
      </c>
      <c r="K677" t="s">
        <v>158</v>
      </c>
      <c r="L677" t="s">
        <v>159</v>
      </c>
      <c r="M677" t="s">
        <v>160</v>
      </c>
      <c r="N677" t="s">
        <v>161</v>
      </c>
      <c r="O677" t="s">
        <v>162</v>
      </c>
      <c r="P677" t="s">
        <v>5</v>
      </c>
      <c r="Q677" t="s">
        <v>6</v>
      </c>
      <c r="R677" t="s">
        <v>321</v>
      </c>
      <c r="S677" t="s">
        <v>8</v>
      </c>
      <c r="T677" t="s">
        <v>322</v>
      </c>
      <c r="U677">
        <f>Sales_Order[[#This Row],[Quantity ordered]]*Sales_Order[[#This Row],[Price each]]</f>
        <v>3501.6000000000004</v>
      </c>
    </row>
    <row r="678" spans="1:21" x14ac:dyDescent="0.3">
      <c r="A678">
        <v>10168</v>
      </c>
      <c r="B678">
        <v>49</v>
      </c>
      <c r="C678">
        <v>100</v>
      </c>
      <c r="D678">
        <v>11</v>
      </c>
      <c r="E678" s="1">
        <v>37922</v>
      </c>
      <c r="F678" t="s">
        <v>0</v>
      </c>
      <c r="G678">
        <v>4</v>
      </c>
      <c r="H678">
        <v>2003</v>
      </c>
      <c r="I678" t="s">
        <v>53</v>
      </c>
      <c r="J678" t="s">
        <v>88</v>
      </c>
      <c r="K678" t="s">
        <v>163</v>
      </c>
      <c r="L678" t="s">
        <v>164</v>
      </c>
      <c r="M678" t="s">
        <v>165</v>
      </c>
      <c r="N678" t="s">
        <v>161</v>
      </c>
      <c r="O678" t="s">
        <v>166</v>
      </c>
      <c r="P678" t="s">
        <v>5</v>
      </c>
      <c r="Q678" t="s">
        <v>6</v>
      </c>
      <c r="R678" t="s">
        <v>323</v>
      </c>
      <c r="S678" t="s">
        <v>8</v>
      </c>
      <c r="T678" t="s">
        <v>324</v>
      </c>
      <c r="U678">
        <f>Sales_Order[[#This Row],[Quantity ordered]]*Sales_Order[[#This Row],[Price each]]</f>
        <v>4900</v>
      </c>
    </row>
    <row r="679" spans="1:21" x14ac:dyDescent="0.3">
      <c r="A679">
        <v>10210</v>
      </c>
      <c r="B679">
        <v>27</v>
      </c>
      <c r="C679">
        <v>98.48</v>
      </c>
      <c r="D679">
        <v>9</v>
      </c>
      <c r="E679" s="1">
        <v>38322</v>
      </c>
      <c r="F679" t="s">
        <v>0</v>
      </c>
      <c r="G679">
        <v>1</v>
      </c>
      <c r="H679">
        <v>2004</v>
      </c>
      <c r="I679" t="s">
        <v>53</v>
      </c>
      <c r="J679" t="s">
        <v>88</v>
      </c>
      <c r="K679" t="s">
        <v>242</v>
      </c>
      <c r="L679" t="s">
        <v>243</v>
      </c>
      <c r="M679" t="s">
        <v>244</v>
      </c>
      <c r="N679" t="s">
        <v>244</v>
      </c>
      <c r="O679" t="s">
        <v>245</v>
      </c>
      <c r="P679" t="s">
        <v>195</v>
      </c>
      <c r="Q679" t="s">
        <v>195</v>
      </c>
      <c r="R679" t="s">
        <v>354</v>
      </c>
      <c r="S679" t="s">
        <v>7</v>
      </c>
      <c r="T679" t="s">
        <v>345</v>
      </c>
      <c r="U679">
        <f>Sales_Order[[#This Row],[Quantity ordered]]*Sales_Order[[#This Row],[Price each]]</f>
        <v>2658.96</v>
      </c>
    </row>
    <row r="680" spans="1:21" x14ac:dyDescent="0.3">
      <c r="A680">
        <v>10223</v>
      </c>
      <c r="B680">
        <v>34</v>
      </c>
      <c r="C680">
        <v>100</v>
      </c>
      <c r="D680">
        <v>11</v>
      </c>
      <c r="E680" s="1">
        <v>38037</v>
      </c>
      <c r="F680" t="s">
        <v>0</v>
      </c>
      <c r="G680">
        <v>1</v>
      </c>
      <c r="H680">
        <v>2004</v>
      </c>
      <c r="I680" t="s">
        <v>53</v>
      </c>
      <c r="J680" t="s">
        <v>88</v>
      </c>
      <c r="K680" t="s">
        <v>9</v>
      </c>
      <c r="L680" t="s">
        <v>10</v>
      </c>
      <c r="M680" t="s">
        <v>11</v>
      </c>
      <c r="N680" t="s">
        <v>12</v>
      </c>
      <c r="O680" t="s">
        <v>134</v>
      </c>
      <c r="P680" t="s">
        <v>13</v>
      </c>
      <c r="Q680" t="s">
        <v>14</v>
      </c>
      <c r="R680" t="s">
        <v>325</v>
      </c>
      <c r="S680" t="s">
        <v>8</v>
      </c>
      <c r="T680" t="s">
        <v>320</v>
      </c>
      <c r="U680">
        <f>Sales_Order[[#This Row],[Quantity ordered]]*Sales_Order[[#This Row],[Price each]]</f>
        <v>3400</v>
      </c>
    </row>
    <row r="681" spans="1:21" x14ac:dyDescent="0.3">
      <c r="A681">
        <v>10235</v>
      </c>
      <c r="B681">
        <v>23</v>
      </c>
      <c r="C681">
        <v>96.29</v>
      </c>
      <c r="D681">
        <v>5</v>
      </c>
      <c r="E681" s="1">
        <v>38021</v>
      </c>
      <c r="F681" t="s">
        <v>0</v>
      </c>
      <c r="G681">
        <v>2</v>
      </c>
      <c r="H681">
        <v>2004</v>
      </c>
      <c r="I681" t="s">
        <v>53</v>
      </c>
      <c r="J681" t="s">
        <v>88</v>
      </c>
      <c r="K681" t="s">
        <v>259</v>
      </c>
      <c r="L681" t="s">
        <v>260</v>
      </c>
      <c r="M681" t="s">
        <v>261</v>
      </c>
      <c r="N681" t="s">
        <v>208</v>
      </c>
      <c r="O681" t="s">
        <v>262</v>
      </c>
      <c r="P681" t="s">
        <v>210</v>
      </c>
      <c r="Q681" t="s">
        <v>6</v>
      </c>
      <c r="R681" t="s">
        <v>359</v>
      </c>
      <c r="S681" t="s">
        <v>7</v>
      </c>
      <c r="T681" t="s">
        <v>327</v>
      </c>
      <c r="U681">
        <f>Sales_Order[[#This Row],[Quantity ordered]]*Sales_Order[[#This Row],[Price each]]</f>
        <v>2214.67</v>
      </c>
    </row>
    <row r="682" spans="1:21" x14ac:dyDescent="0.3">
      <c r="A682">
        <v>10250</v>
      </c>
      <c r="B682">
        <v>31</v>
      </c>
      <c r="C682">
        <v>88.63</v>
      </c>
      <c r="D682">
        <v>6</v>
      </c>
      <c r="E682" s="1">
        <v>38296</v>
      </c>
      <c r="F682" t="s">
        <v>0</v>
      </c>
      <c r="G682">
        <v>2</v>
      </c>
      <c r="H682">
        <v>2004</v>
      </c>
      <c r="I682" t="s">
        <v>53</v>
      </c>
      <c r="J682" t="s">
        <v>88</v>
      </c>
      <c r="K682" t="s">
        <v>272</v>
      </c>
      <c r="L682" t="s">
        <v>273</v>
      </c>
      <c r="M682" t="s">
        <v>274</v>
      </c>
      <c r="N682" t="s">
        <v>161</v>
      </c>
      <c r="O682" t="s">
        <v>166</v>
      </c>
      <c r="P682" t="s">
        <v>5</v>
      </c>
      <c r="Q682" t="s">
        <v>6</v>
      </c>
      <c r="R682" t="s">
        <v>363</v>
      </c>
      <c r="S682" t="s">
        <v>7</v>
      </c>
      <c r="T682" t="s">
        <v>329</v>
      </c>
      <c r="U682">
        <f>Sales_Order[[#This Row],[Quantity ordered]]*Sales_Order[[#This Row],[Price each]]</f>
        <v>2747.5299999999997</v>
      </c>
    </row>
    <row r="683" spans="1:21" x14ac:dyDescent="0.3">
      <c r="A683">
        <v>10308</v>
      </c>
      <c r="B683">
        <v>31</v>
      </c>
      <c r="C683">
        <v>100</v>
      </c>
      <c r="D683">
        <v>9</v>
      </c>
      <c r="E683" s="1">
        <v>38275</v>
      </c>
      <c r="F683" t="s">
        <v>0</v>
      </c>
      <c r="G683">
        <v>4</v>
      </c>
      <c r="H683">
        <v>2004</v>
      </c>
      <c r="I683" t="s">
        <v>53</v>
      </c>
      <c r="J683" t="s">
        <v>88</v>
      </c>
      <c r="K683" t="s">
        <v>248</v>
      </c>
      <c r="L683" t="s">
        <v>249</v>
      </c>
      <c r="M683" t="s">
        <v>250</v>
      </c>
      <c r="N683" t="s">
        <v>4</v>
      </c>
      <c r="O683" t="s">
        <v>251</v>
      </c>
      <c r="P683" t="s">
        <v>5</v>
      </c>
      <c r="Q683" t="s">
        <v>6</v>
      </c>
      <c r="R683" t="s">
        <v>356</v>
      </c>
      <c r="S683" t="s">
        <v>8</v>
      </c>
      <c r="T683" t="s">
        <v>324</v>
      </c>
      <c r="U683">
        <f>Sales_Order[[#This Row],[Quantity ordered]]*Sales_Order[[#This Row],[Price each]]</f>
        <v>3100</v>
      </c>
    </row>
    <row r="684" spans="1:21" x14ac:dyDescent="0.3">
      <c r="A684">
        <v>10316</v>
      </c>
      <c r="B684">
        <v>25</v>
      </c>
      <c r="C684">
        <v>100</v>
      </c>
      <c r="D684">
        <v>1</v>
      </c>
      <c r="E684" s="1">
        <v>37997</v>
      </c>
      <c r="F684" t="s">
        <v>0</v>
      </c>
      <c r="G684">
        <v>4</v>
      </c>
      <c r="H684">
        <v>2004</v>
      </c>
      <c r="I684" t="s">
        <v>53</v>
      </c>
      <c r="J684" t="s">
        <v>88</v>
      </c>
      <c r="K684" t="s">
        <v>267</v>
      </c>
      <c r="L684" t="s">
        <v>268</v>
      </c>
      <c r="M684" t="s">
        <v>269</v>
      </c>
      <c r="N684" t="s">
        <v>270</v>
      </c>
      <c r="O684" t="s">
        <v>271</v>
      </c>
      <c r="P684" t="s">
        <v>193</v>
      </c>
      <c r="Q684" t="s">
        <v>157</v>
      </c>
      <c r="R684" t="s">
        <v>362</v>
      </c>
      <c r="S684" t="s">
        <v>7</v>
      </c>
      <c r="T684" t="s">
        <v>334</v>
      </c>
      <c r="U684">
        <f>Sales_Order[[#This Row],[Quantity ordered]]*Sales_Order[[#This Row],[Price each]]</f>
        <v>2500</v>
      </c>
    </row>
    <row r="685" spans="1:21" x14ac:dyDescent="0.3">
      <c r="A685">
        <v>10339</v>
      </c>
      <c r="B685">
        <v>21</v>
      </c>
      <c r="C685">
        <v>50.65</v>
      </c>
      <c r="D685">
        <v>7</v>
      </c>
      <c r="E685" s="1">
        <v>38314</v>
      </c>
      <c r="F685" t="s">
        <v>0</v>
      </c>
      <c r="G685">
        <v>4</v>
      </c>
      <c r="H685">
        <v>2004</v>
      </c>
      <c r="I685" t="s">
        <v>53</v>
      </c>
      <c r="J685" t="s">
        <v>88</v>
      </c>
      <c r="K685" t="s">
        <v>220</v>
      </c>
      <c r="L685" t="s">
        <v>221</v>
      </c>
      <c r="M685" t="s">
        <v>222</v>
      </c>
      <c r="N685" t="s">
        <v>223</v>
      </c>
      <c r="O685" t="s">
        <v>224</v>
      </c>
      <c r="P685" t="s">
        <v>195</v>
      </c>
      <c r="Q685" t="s">
        <v>195</v>
      </c>
      <c r="R685" t="s">
        <v>348</v>
      </c>
      <c r="S685" t="s">
        <v>7</v>
      </c>
      <c r="T685" t="s">
        <v>334</v>
      </c>
      <c r="U685">
        <f>Sales_Order[[#This Row],[Quantity ordered]]*Sales_Order[[#This Row],[Price each]]</f>
        <v>1063.6499999999999</v>
      </c>
    </row>
    <row r="686" spans="1:21" x14ac:dyDescent="0.3">
      <c r="A686">
        <v>10353</v>
      </c>
      <c r="B686">
        <v>28</v>
      </c>
      <c r="C686">
        <v>71.73</v>
      </c>
      <c r="D686">
        <v>2</v>
      </c>
      <c r="E686" s="1">
        <v>38089</v>
      </c>
      <c r="F686" t="s">
        <v>0</v>
      </c>
      <c r="G686">
        <v>4</v>
      </c>
      <c r="H686">
        <v>2004</v>
      </c>
      <c r="I686" t="s">
        <v>53</v>
      </c>
      <c r="J686" t="s">
        <v>88</v>
      </c>
      <c r="K686" t="s">
        <v>301</v>
      </c>
      <c r="L686" t="s">
        <v>302</v>
      </c>
      <c r="M686" t="s">
        <v>284</v>
      </c>
      <c r="N686" t="s">
        <v>176</v>
      </c>
      <c r="O686" t="s">
        <v>303</v>
      </c>
      <c r="P686" t="s">
        <v>5</v>
      </c>
      <c r="Q686" t="s">
        <v>6</v>
      </c>
      <c r="R686" t="s">
        <v>372</v>
      </c>
      <c r="S686" t="s">
        <v>7</v>
      </c>
      <c r="T686" t="s">
        <v>336</v>
      </c>
      <c r="U686">
        <f>Sales_Order[[#This Row],[Quantity ordered]]*Sales_Order[[#This Row],[Price each]]</f>
        <v>2008.44</v>
      </c>
    </row>
    <row r="687" spans="1:21" x14ac:dyDescent="0.3">
      <c r="A687">
        <v>10374</v>
      </c>
      <c r="B687">
        <v>46</v>
      </c>
      <c r="C687">
        <v>94.1</v>
      </c>
      <c r="D687">
        <v>3</v>
      </c>
      <c r="E687" s="1">
        <v>38385</v>
      </c>
      <c r="F687" t="s">
        <v>0</v>
      </c>
      <c r="G687">
        <v>1</v>
      </c>
      <c r="H687">
        <v>2005</v>
      </c>
      <c r="I687" t="s">
        <v>53</v>
      </c>
      <c r="J687" t="s">
        <v>88</v>
      </c>
      <c r="K687" t="s">
        <v>196</v>
      </c>
      <c r="L687" t="s">
        <v>197</v>
      </c>
      <c r="M687" t="s">
        <v>198</v>
      </c>
      <c r="N687" t="s">
        <v>199</v>
      </c>
      <c r="O687" t="s">
        <v>200</v>
      </c>
      <c r="P687" t="s">
        <v>13</v>
      </c>
      <c r="Q687" t="s">
        <v>14</v>
      </c>
      <c r="R687" t="s">
        <v>341</v>
      </c>
      <c r="S687" t="s">
        <v>8</v>
      </c>
      <c r="T687" t="s">
        <v>320</v>
      </c>
      <c r="U687">
        <f>Sales_Order[[#This Row],[Quantity ordered]]*Sales_Order[[#This Row],[Price each]]</f>
        <v>4328.5999999999995</v>
      </c>
    </row>
    <row r="688" spans="1:21" x14ac:dyDescent="0.3">
      <c r="A688">
        <v>10401</v>
      </c>
      <c r="B688">
        <v>38</v>
      </c>
      <c r="C688">
        <v>96.29</v>
      </c>
      <c r="D688">
        <v>5</v>
      </c>
      <c r="E688" s="1">
        <v>38415</v>
      </c>
      <c r="F688" t="s">
        <v>275</v>
      </c>
      <c r="G688">
        <v>2</v>
      </c>
      <c r="H688">
        <v>2005</v>
      </c>
      <c r="I688" t="s">
        <v>53</v>
      </c>
      <c r="J688" t="s">
        <v>88</v>
      </c>
      <c r="K688" t="s">
        <v>168</v>
      </c>
      <c r="L688" t="s">
        <v>169</v>
      </c>
      <c r="M688" t="s">
        <v>170</v>
      </c>
      <c r="N688" t="s">
        <v>171</v>
      </c>
      <c r="O688" t="s">
        <v>172</v>
      </c>
      <c r="P688" t="s">
        <v>5</v>
      </c>
      <c r="Q688" t="s">
        <v>6</v>
      </c>
      <c r="R688" t="s">
        <v>328</v>
      </c>
      <c r="S688" t="s">
        <v>8</v>
      </c>
      <c r="T688" t="s">
        <v>327</v>
      </c>
      <c r="U688">
        <f>Sales_Order[[#This Row],[Quantity ordered]]*Sales_Order[[#This Row],[Price each]]</f>
        <v>3659.0200000000004</v>
      </c>
    </row>
    <row r="689" spans="1:21" x14ac:dyDescent="0.3">
      <c r="A689">
        <v>10124</v>
      </c>
      <c r="B689">
        <v>45</v>
      </c>
      <c r="C689">
        <v>37.840000000000003</v>
      </c>
      <c r="D689">
        <v>2</v>
      </c>
      <c r="E689" s="1">
        <v>37762</v>
      </c>
      <c r="F689" t="s">
        <v>0</v>
      </c>
      <c r="G689">
        <v>2</v>
      </c>
      <c r="H689">
        <v>2003</v>
      </c>
      <c r="I689" t="s">
        <v>49</v>
      </c>
      <c r="J689" t="s">
        <v>89</v>
      </c>
      <c r="K689" t="s">
        <v>290</v>
      </c>
      <c r="L689" t="s">
        <v>291</v>
      </c>
      <c r="M689" t="s">
        <v>292</v>
      </c>
      <c r="N689" t="s">
        <v>293</v>
      </c>
      <c r="O689" t="s">
        <v>294</v>
      </c>
      <c r="P689" t="s">
        <v>5</v>
      </c>
      <c r="Q689" t="s">
        <v>6</v>
      </c>
      <c r="R689" t="s">
        <v>370</v>
      </c>
      <c r="S689" t="s">
        <v>7</v>
      </c>
      <c r="T689" t="s">
        <v>329</v>
      </c>
      <c r="U689">
        <f>Sales_Order[[#This Row],[Quantity ordered]]*Sales_Order[[#This Row],[Price each]]</f>
        <v>1702.8000000000002</v>
      </c>
    </row>
    <row r="690" spans="1:21" x14ac:dyDescent="0.3">
      <c r="A690">
        <v>10149</v>
      </c>
      <c r="B690">
        <v>36</v>
      </c>
      <c r="C690">
        <v>33.19</v>
      </c>
      <c r="D690">
        <v>7</v>
      </c>
      <c r="E690" s="1">
        <v>37964</v>
      </c>
      <c r="F690" t="s">
        <v>0</v>
      </c>
      <c r="G690">
        <v>3</v>
      </c>
      <c r="H690">
        <v>2003</v>
      </c>
      <c r="I690" t="s">
        <v>49</v>
      </c>
      <c r="J690" t="s">
        <v>89</v>
      </c>
      <c r="K690" t="s">
        <v>286</v>
      </c>
      <c r="L690" t="s">
        <v>287</v>
      </c>
      <c r="M690" t="s">
        <v>288</v>
      </c>
      <c r="N690" t="s">
        <v>161</v>
      </c>
      <c r="O690" t="s">
        <v>166</v>
      </c>
      <c r="P690" t="s">
        <v>5</v>
      </c>
      <c r="Q690" t="s">
        <v>6</v>
      </c>
      <c r="R690" t="s">
        <v>369</v>
      </c>
      <c r="S690" t="s">
        <v>7</v>
      </c>
      <c r="T690" t="s">
        <v>361</v>
      </c>
      <c r="U690">
        <f>Sales_Order[[#This Row],[Quantity ordered]]*Sales_Order[[#This Row],[Price each]]</f>
        <v>1194.8399999999999</v>
      </c>
    </row>
    <row r="691" spans="1:21" x14ac:dyDescent="0.3">
      <c r="A691">
        <v>10182</v>
      </c>
      <c r="B691">
        <v>39</v>
      </c>
      <c r="C691">
        <v>36.840000000000003</v>
      </c>
      <c r="D691">
        <v>6</v>
      </c>
      <c r="E691" s="1">
        <v>37966</v>
      </c>
      <c r="F691" t="s">
        <v>0</v>
      </c>
      <c r="G691">
        <v>4</v>
      </c>
      <c r="H691">
        <v>2003</v>
      </c>
      <c r="I691" t="s">
        <v>49</v>
      </c>
      <c r="J691" t="s">
        <v>89</v>
      </c>
      <c r="K691" t="s">
        <v>225</v>
      </c>
      <c r="L691" t="s">
        <v>226</v>
      </c>
      <c r="M691" t="s">
        <v>227</v>
      </c>
      <c r="N691" t="s">
        <v>161</v>
      </c>
      <c r="O691" t="s">
        <v>177</v>
      </c>
      <c r="P691" t="s">
        <v>5</v>
      </c>
      <c r="Q691" t="s">
        <v>6</v>
      </c>
      <c r="R691" t="s">
        <v>349</v>
      </c>
      <c r="S691" t="s">
        <v>7</v>
      </c>
      <c r="T691" t="s">
        <v>334</v>
      </c>
      <c r="U691">
        <f>Sales_Order[[#This Row],[Quantity ordered]]*Sales_Order[[#This Row],[Price each]]</f>
        <v>1436.7600000000002</v>
      </c>
    </row>
    <row r="692" spans="1:21" x14ac:dyDescent="0.3">
      <c r="A692">
        <v>10193</v>
      </c>
      <c r="B692">
        <v>26</v>
      </c>
      <c r="C692">
        <v>29.21</v>
      </c>
      <c r="D692">
        <v>10</v>
      </c>
      <c r="E692" s="1">
        <v>37946</v>
      </c>
      <c r="F692" t="s">
        <v>0</v>
      </c>
      <c r="G692">
        <v>4</v>
      </c>
      <c r="H692">
        <v>2003</v>
      </c>
      <c r="I692" t="s">
        <v>49</v>
      </c>
      <c r="J692" t="s">
        <v>89</v>
      </c>
      <c r="K692" t="s">
        <v>296</v>
      </c>
      <c r="L692" t="s">
        <v>297</v>
      </c>
      <c r="M692" t="s">
        <v>298</v>
      </c>
      <c r="N692" t="s">
        <v>12</v>
      </c>
      <c r="O692" t="s">
        <v>299</v>
      </c>
      <c r="P692" t="s">
        <v>13</v>
      </c>
      <c r="Q692" t="s">
        <v>14</v>
      </c>
      <c r="R692" t="s">
        <v>371</v>
      </c>
      <c r="S692" t="s">
        <v>7</v>
      </c>
      <c r="T692" t="s">
        <v>334</v>
      </c>
      <c r="U692">
        <f>Sales_Order[[#This Row],[Quantity ordered]]*Sales_Order[[#This Row],[Price each]]</f>
        <v>759.46</v>
      </c>
    </row>
    <row r="693" spans="1:21" x14ac:dyDescent="0.3">
      <c r="A693">
        <v>10243</v>
      </c>
      <c r="B693">
        <v>33</v>
      </c>
      <c r="C693">
        <v>29.54</v>
      </c>
      <c r="D693">
        <v>1</v>
      </c>
      <c r="E693" s="1">
        <v>38103</v>
      </c>
      <c r="F693" t="s">
        <v>0</v>
      </c>
      <c r="G693">
        <v>2</v>
      </c>
      <c r="H693">
        <v>2004</v>
      </c>
      <c r="I693" t="s">
        <v>49</v>
      </c>
      <c r="J693" t="s">
        <v>89</v>
      </c>
      <c r="K693" t="s">
        <v>277</v>
      </c>
      <c r="L693" t="s">
        <v>278</v>
      </c>
      <c r="M693" t="s">
        <v>265</v>
      </c>
      <c r="N693" t="s">
        <v>181</v>
      </c>
      <c r="O693" t="s">
        <v>266</v>
      </c>
      <c r="P693" t="s">
        <v>5</v>
      </c>
      <c r="Q693" t="s">
        <v>6</v>
      </c>
      <c r="R693" t="s">
        <v>364</v>
      </c>
      <c r="S693" t="s">
        <v>7</v>
      </c>
      <c r="T693" t="s">
        <v>327</v>
      </c>
      <c r="U693">
        <f>Sales_Order[[#This Row],[Quantity ordered]]*Sales_Order[[#This Row],[Price each]]</f>
        <v>974.81999999999994</v>
      </c>
    </row>
    <row r="694" spans="1:21" x14ac:dyDescent="0.3">
      <c r="A694">
        <v>10312</v>
      </c>
      <c r="B694">
        <v>39</v>
      </c>
      <c r="C694">
        <v>29.54</v>
      </c>
      <c r="D694">
        <v>13</v>
      </c>
      <c r="E694" s="1">
        <v>38281</v>
      </c>
      <c r="F694" t="s">
        <v>0</v>
      </c>
      <c r="G694">
        <v>4</v>
      </c>
      <c r="H694">
        <v>2004</v>
      </c>
      <c r="I694" t="s">
        <v>49</v>
      </c>
      <c r="J694" t="s">
        <v>89</v>
      </c>
      <c r="K694" t="s">
        <v>225</v>
      </c>
      <c r="L694" t="s">
        <v>226</v>
      </c>
      <c r="M694" t="s">
        <v>227</v>
      </c>
      <c r="N694" t="s">
        <v>161</v>
      </c>
      <c r="O694" t="s">
        <v>177</v>
      </c>
      <c r="P694" t="s">
        <v>5</v>
      </c>
      <c r="Q694" t="s">
        <v>6</v>
      </c>
      <c r="R694" t="s">
        <v>349</v>
      </c>
      <c r="S694" t="s">
        <v>7</v>
      </c>
      <c r="T694" t="s">
        <v>324</v>
      </c>
      <c r="U694">
        <f>Sales_Order[[#This Row],[Quantity ordered]]*Sales_Order[[#This Row],[Price each]]</f>
        <v>1152.06</v>
      </c>
    </row>
    <row r="695" spans="1:21" x14ac:dyDescent="0.3">
      <c r="A695">
        <v>10322</v>
      </c>
      <c r="B695">
        <v>20</v>
      </c>
      <c r="C695">
        <v>100</v>
      </c>
      <c r="D695">
        <v>3</v>
      </c>
      <c r="E695" s="1">
        <v>38088</v>
      </c>
      <c r="F695" t="s">
        <v>0</v>
      </c>
      <c r="G695">
        <v>4</v>
      </c>
      <c r="H695">
        <v>2004</v>
      </c>
      <c r="I695" t="s">
        <v>49</v>
      </c>
      <c r="J695" t="s">
        <v>89</v>
      </c>
      <c r="K695" t="s">
        <v>228</v>
      </c>
      <c r="L695" t="s">
        <v>229</v>
      </c>
      <c r="M695" t="s">
        <v>230</v>
      </c>
      <c r="N695" t="s">
        <v>231</v>
      </c>
      <c r="O695" t="s">
        <v>232</v>
      </c>
      <c r="P695" t="s">
        <v>5</v>
      </c>
      <c r="Q695" t="s">
        <v>6</v>
      </c>
      <c r="R695" t="s">
        <v>350</v>
      </c>
      <c r="S695" t="s">
        <v>7</v>
      </c>
      <c r="T695" t="s">
        <v>334</v>
      </c>
      <c r="U695">
        <f>Sales_Order[[#This Row],[Quantity ordered]]*Sales_Order[[#This Row],[Price each]]</f>
        <v>2000</v>
      </c>
    </row>
    <row r="696" spans="1:21" x14ac:dyDescent="0.3">
      <c r="A696">
        <v>10367</v>
      </c>
      <c r="B696">
        <v>23</v>
      </c>
      <c r="C696">
        <v>36.29</v>
      </c>
      <c r="D696">
        <v>13</v>
      </c>
      <c r="E696" s="1">
        <v>38687</v>
      </c>
      <c r="F696" t="s">
        <v>276</v>
      </c>
      <c r="G696">
        <v>1</v>
      </c>
      <c r="H696">
        <v>2005</v>
      </c>
      <c r="I696" t="s">
        <v>49</v>
      </c>
      <c r="J696" t="s">
        <v>89</v>
      </c>
      <c r="K696" t="s">
        <v>158</v>
      </c>
      <c r="L696" t="s">
        <v>159</v>
      </c>
      <c r="M696" t="s">
        <v>160</v>
      </c>
      <c r="N696" t="s">
        <v>161</v>
      </c>
      <c r="O696" t="s">
        <v>162</v>
      </c>
      <c r="P696" t="s">
        <v>5</v>
      </c>
      <c r="Q696" t="s">
        <v>6</v>
      </c>
      <c r="R696" t="s">
        <v>321</v>
      </c>
      <c r="S696" t="s">
        <v>7</v>
      </c>
      <c r="T696" t="s">
        <v>345</v>
      </c>
      <c r="U696">
        <f>Sales_Order[[#This Row],[Quantity ordered]]*Sales_Order[[#This Row],[Price each]]</f>
        <v>834.67</v>
      </c>
    </row>
    <row r="697" spans="1:21" x14ac:dyDescent="0.3">
      <c r="A697">
        <v>10391</v>
      </c>
      <c r="B697">
        <v>33</v>
      </c>
      <c r="C697">
        <v>100</v>
      </c>
      <c r="D697">
        <v>8</v>
      </c>
      <c r="E697" s="1">
        <v>38598</v>
      </c>
      <c r="F697" t="s">
        <v>0</v>
      </c>
      <c r="G697">
        <v>1</v>
      </c>
      <c r="H697">
        <v>2005</v>
      </c>
      <c r="I697" t="s">
        <v>49</v>
      </c>
      <c r="J697" t="s">
        <v>89</v>
      </c>
      <c r="K697" t="s">
        <v>26</v>
      </c>
      <c r="L697" t="s">
        <v>27</v>
      </c>
      <c r="M697" t="s">
        <v>28</v>
      </c>
      <c r="N697" t="s">
        <v>21</v>
      </c>
      <c r="O697" t="s">
        <v>137</v>
      </c>
      <c r="P697" t="s">
        <v>13</v>
      </c>
      <c r="Q697" t="s">
        <v>14</v>
      </c>
      <c r="R697" t="s">
        <v>352</v>
      </c>
      <c r="S697" t="s">
        <v>17</v>
      </c>
      <c r="T697" t="s">
        <v>338</v>
      </c>
      <c r="U697">
        <f>Sales_Order[[#This Row],[Quantity ordered]]*Sales_Order[[#This Row],[Price each]]</f>
        <v>3300</v>
      </c>
    </row>
    <row r="698" spans="1:21" x14ac:dyDescent="0.3">
      <c r="A698">
        <v>10420</v>
      </c>
      <c r="B698">
        <v>45</v>
      </c>
      <c r="C698">
        <v>26.88</v>
      </c>
      <c r="D698">
        <v>1</v>
      </c>
      <c r="E698" s="1">
        <v>38501</v>
      </c>
      <c r="F698" t="s">
        <v>29</v>
      </c>
      <c r="G698">
        <v>2</v>
      </c>
      <c r="H698">
        <v>2005</v>
      </c>
      <c r="I698" t="s">
        <v>49</v>
      </c>
      <c r="J698" t="s">
        <v>89</v>
      </c>
      <c r="K698" t="s">
        <v>18</v>
      </c>
      <c r="L698" t="s">
        <v>19</v>
      </c>
      <c r="M698" t="s">
        <v>20</v>
      </c>
      <c r="N698" t="s">
        <v>21</v>
      </c>
      <c r="O698" t="s">
        <v>136</v>
      </c>
      <c r="P698" t="s">
        <v>13</v>
      </c>
      <c r="Q698" t="s">
        <v>14</v>
      </c>
      <c r="R698" t="s">
        <v>335</v>
      </c>
      <c r="S698" t="s">
        <v>7</v>
      </c>
      <c r="T698" t="s">
        <v>329</v>
      </c>
      <c r="U698">
        <f>Sales_Order[[#This Row],[Quantity ordered]]*Sales_Order[[#This Row],[Price each]]</f>
        <v>1209.5999999999999</v>
      </c>
    </row>
    <row r="699" spans="1:21" x14ac:dyDescent="0.3">
      <c r="A699">
        <v>10107</v>
      </c>
      <c r="B699">
        <v>38</v>
      </c>
      <c r="C699">
        <v>83.03</v>
      </c>
      <c r="D699">
        <v>7</v>
      </c>
      <c r="E699" s="1">
        <v>37676</v>
      </c>
      <c r="F699" t="s">
        <v>0</v>
      </c>
      <c r="G699">
        <v>1</v>
      </c>
      <c r="H699">
        <v>2003</v>
      </c>
      <c r="I699" t="s">
        <v>1</v>
      </c>
      <c r="J699" t="s">
        <v>90</v>
      </c>
      <c r="K699" t="s">
        <v>155</v>
      </c>
      <c r="L699" t="s">
        <v>156</v>
      </c>
      <c r="M699" t="s">
        <v>3</v>
      </c>
      <c r="N699" t="s">
        <v>4</v>
      </c>
      <c r="O699" t="s">
        <v>135</v>
      </c>
      <c r="P699" t="s">
        <v>5</v>
      </c>
      <c r="Q699" t="s">
        <v>6</v>
      </c>
      <c r="R699" t="s">
        <v>319</v>
      </c>
      <c r="S699" t="s">
        <v>8</v>
      </c>
      <c r="T699" t="s">
        <v>320</v>
      </c>
      <c r="U699">
        <f>Sales_Order[[#This Row],[Quantity ordered]]*Sales_Order[[#This Row],[Price each]]</f>
        <v>3155.14</v>
      </c>
    </row>
    <row r="700" spans="1:21" x14ac:dyDescent="0.3">
      <c r="A700">
        <v>10120</v>
      </c>
      <c r="B700">
        <v>34</v>
      </c>
      <c r="C700">
        <v>83.79</v>
      </c>
      <c r="D700">
        <v>5</v>
      </c>
      <c r="E700" s="1">
        <v>37740</v>
      </c>
      <c r="F700" t="s">
        <v>0</v>
      </c>
      <c r="G700">
        <v>2</v>
      </c>
      <c r="H700">
        <v>2003</v>
      </c>
      <c r="I700" t="s">
        <v>1</v>
      </c>
      <c r="J700" t="s">
        <v>90</v>
      </c>
      <c r="K700" t="s">
        <v>9</v>
      </c>
      <c r="L700" t="s">
        <v>10</v>
      </c>
      <c r="M700" t="s">
        <v>11</v>
      </c>
      <c r="N700" t="s">
        <v>12</v>
      </c>
      <c r="O700" t="s">
        <v>134</v>
      </c>
      <c r="P700" t="s">
        <v>13</v>
      </c>
      <c r="Q700" t="s">
        <v>14</v>
      </c>
      <c r="R700" t="s">
        <v>325</v>
      </c>
      <c r="S700" t="s">
        <v>7</v>
      </c>
      <c r="T700" t="s">
        <v>327</v>
      </c>
      <c r="U700">
        <f>Sales_Order[[#This Row],[Quantity ordered]]*Sales_Order[[#This Row],[Price each]]</f>
        <v>2848.86</v>
      </c>
    </row>
    <row r="701" spans="1:21" x14ac:dyDescent="0.3">
      <c r="A701">
        <v>10145</v>
      </c>
      <c r="B701">
        <v>47</v>
      </c>
      <c r="C701">
        <v>83.03</v>
      </c>
      <c r="D701">
        <v>11</v>
      </c>
      <c r="E701" s="1">
        <v>37858</v>
      </c>
      <c r="F701" t="s">
        <v>0</v>
      </c>
      <c r="G701">
        <v>3</v>
      </c>
      <c r="H701">
        <v>2003</v>
      </c>
      <c r="I701" t="s">
        <v>1</v>
      </c>
      <c r="J701" t="s">
        <v>90</v>
      </c>
      <c r="K701" t="s">
        <v>158</v>
      </c>
      <c r="L701" t="s">
        <v>159</v>
      </c>
      <c r="M701" t="s">
        <v>160</v>
      </c>
      <c r="N701" t="s">
        <v>161</v>
      </c>
      <c r="O701" t="s">
        <v>162</v>
      </c>
      <c r="P701" t="s">
        <v>5</v>
      </c>
      <c r="Q701" t="s">
        <v>6</v>
      </c>
      <c r="R701" t="s">
        <v>321</v>
      </c>
      <c r="S701" t="s">
        <v>8</v>
      </c>
      <c r="T701" t="s">
        <v>322</v>
      </c>
      <c r="U701">
        <f>Sales_Order[[#This Row],[Quantity ordered]]*Sales_Order[[#This Row],[Price each]]</f>
        <v>3902.41</v>
      </c>
    </row>
    <row r="702" spans="1:21" x14ac:dyDescent="0.3">
      <c r="A702">
        <v>10168</v>
      </c>
      <c r="B702">
        <v>29</v>
      </c>
      <c r="C702">
        <v>75.41</v>
      </c>
      <c r="D702">
        <v>6</v>
      </c>
      <c r="E702" s="1">
        <v>37922</v>
      </c>
      <c r="F702" t="s">
        <v>0</v>
      </c>
      <c r="G702">
        <v>4</v>
      </c>
      <c r="H702">
        <v>2003</v>
      </c>
      <c r="I702" t="s">
        <v>1</v>
      </c>
      <c r="J702" t="s">
        <v>90</v>
      </c>
      <c r="K702" t="s">
        <v>163</v>
      </c>
      <c r="L702" t="s">
        <v>164</v>
      </c>
      <c r="M702" t="s">
        <v>165</v>
      </c>
      <c r="N702" t="s">
        <v>161</v>
      </c>
      <c r="O702" t="s">
        <v>166</v>
      </c>
      <c r="P702" t="s">
        <v>5</v>
      </c>
      <c r="Q702" t="s">
        <v>6</v>
      </c>
      <c r="R702" t="s">
        <v>323</v>
      </c>
      <c r="S702" t="s">
        <v>7</v>
      </c>
      <c r="T702" t="s">
        <v>324</v>
      </c>
      <c r="U702">
        <f>Sales_Order[[#This Row],[Quantity ordered]]*Sales_Order[[#This Row],[Price each]]</f>
        <v>2186.89</v>
      </c>
    </row>
    <row r="703" spans="1:21" x14ac:dyDescent="0.3">
      <c r="A703">
        <v>10210</v>
      </c>
      <c r="B703">
        <v>30</v>
      </c>
      <c r="C703">
        <v>61.7</v>
      </c>
      <c r="D703">
        <v>4</v>
      </c>
      <c r="E703" s="1">
        <v>38322</v>
      </c>
      <c r="F703" t="s">
        <v>0</v>
      </c>
      <c r="G703">
        <v>1</v>
      </c>
      <c r="H703">
        <v>2004</v>
      </c>
      <c r="I703" t="s">
        <v>1</v>
      </c>
      <c r="J703" t="s">
        <v>90</v>
      </c>
      <c r="K703" t="s">
        <v>242</v>
      </c>
      <c r="L703" t="s">
        <v>243</v>
      </c>
      <c r="M703" t="s">
        <v>244</v>
      </c>
      <c r="N703" t="s">
        <v>244</v>
      </c>
      <c r="O703" t="s">
        <v>245</v>
      </c>
      <c r="P703" t="s">
        <v>195</v>
      </c>
      <c r="Q703" t="s">
        <v>195</v>
      </c>
      <c r="R703" t="s">
        <v>354</v>
      </c>
      <c r="S703" t="s">
        <v>7</v>
      </c>
      <c r="T703" t="s">
        <v>345</v>
      </c>
      <c r="U703">
        <f>Sales_Order[[#This Row],[Quantity ordered]]*Sales_Order[[#This Row],[Price each]]</f>
        <v>1851</v>
      </c>
    </row>
    <row r="704" spans="1:21" x14ac:dyDescent="0.3">
      <c r="A704">
        <v>10223</v>
      </c>
      <c r="B704">
        <v>38</v>
      </c>
      <c r="C704">
        <v>69.31</v>
      </c>
      <c r="D704">
        <v>6</v>
      </c>
      <c r="E704" s="1">
        <v>38037</v>
      </c>
      <c r="F704" t="s">
        <v>0</v>
      </c>
      <c r="G704">
        <v>1</v>
      </c>
      <c r="H704">
        <v>2004</v>
      </c>
      <c r="I704" t="s">
        <v>1</v>
      </c>
      <c r="J704" t="s">
        <v>90</v>
      </c>
      <c r="K704" t="s">
        <v>9</v>
      </c>
      <c r="L704" t="s">
        <v>10</v>
      </c>
      <c r="M704" t="s">
        <v>11</v>
      </c>
      <c r="N704" t="s">
        <v>12</v>
      </c>
      <c r="O704" t="s">
        <v>134</v>
      </c>
      <c r="P704" t="s">
        <v>13</v>
      </c>
      <c r="Q704" t="s">
        <v>14</v>
      </c>
      <c r="R704" t="s">
        <v>325</v>
      </c>
      <c r="S704" t="s">
        <v>7</v>
      </c>
      <c r="T704" t="s">
        <v>320</v>
      </c>
      <c r="U704">
        <f>Sales_Order[[#This Row],[Quantity ordered]]*Sales_Order[[#This Row],[Price each]]</f>
        <v>2633.78</v>
      </c>
    </row>
    <row r="705" spans="1:21" x14ac:dyDescent="0.3">
      <c r="A705">
        <v>10236</v>
      </c>
      <c r="B705">
        <v>36</v>
      </c>
      <c r="C705">
        <v>87.6</v>
      </c>
      <c r="D705">
        <v>3</v>
      </c>
      <c r="E705" s="1">
        <v>38050</v>
      </c>
      <c r="F705" t="s">
        <v>0</v>
      </c>
      <c r="G705">
        <v>2</v>
      </c>
      <c r="H705">
        <v>2004</v>
      </c>
      <c r="I705" t="s">
        <v>1</v>
      </c>
      <c r="J705" t="s">
        <v>90</v>
      </c>
      <c r="K705" t="s">
        <v>246</v>
      </c>
      <c r="L705" t="s">
        <v>247</v>
      </c>
      <c r="M705" t="s">
        <v>203</v>
      </c>
      <c r="N705" t="s">
        <v>186</v>
      </c>
      <c r="O705" t="s">
        <v>204</v>
      </c>
      <c r="P705" t="s">
        <v>5</v>
      </c>
      <c r="Q705" t="s">
        <v>6</v>
      </c>
      <c r="R705" t="s">
        <v>355</v>
      </c>
      <c r="S705" t="s">
        <v>8</v>
      </c>
      <c r="T705" t="s">
        <v>327</v>
      </c>
      <c r="U705">
        <f>Sales_Order[[#This Row],[Quantity ordered]]*Sales_Order[[#This Row],[Price each]]</f>
        <v>3153.6</v>
      </c>
    </row>
    <row r="706" spans="1:21" x14ac:dyDescent="0.3">
      <c r="A706">
        <v>10250</v>
      </c>
      <c r="B706">
        <v>32</v>
      </c>
      <c r="C706">
        <v>87.6</v>
      </c>
      <c r="D706">
        <v>1</v>
      </c>
      <c r="E706" s="1">
        <v>38296</v>
      </c>
      <c r="F706" t="s">
        <v>0</v>
      </c>
      <c r="G706">
        <v>2</v>
      </c>
      <c r="H706">
        <v>2004</v>
      </c>
      <c r="I706" t="s">
        <v>1</v>
      </c>
      <c r="J706" t="s">
        <v>90</v>
      </c>
      <c r="K706" t="s">
        <v>272</v>
      </c>
      <c r="L706" t="s">
        <v>273</v>
      </c>
      <c r="M706" t="s">
        <v>274</v>
      </c>
      <c r="N706" t="s">
        <v>161</v>
      </c>
      <c r="O706" t="s">
        <v>166</v>
      </c>
      <c r="P706" t="s">
        <v>5</v>
      </c>
      <c r="Q706" t="s">
        <v>6</v>
      </c>
      <c r="R706" t="s">
        <v>363</v>
      </c>
      <c r="S706" t="s">
        <v>7</v>
      </c>
      <c r="T706" t="s">
        <v>329</v>
      </c>
      <c r="U706">
        <f>Sales_Order[[#This Row],[Quantity ordered]]*Sales_Order[[#This Row],[Price each]]</f>
        <v>2803.2</v>
      </c>
    </row>
    <row r="707" spans="1:21" x14ac:dyDescent="0.3">
      <c r="A707">
        <v>10263</v>
      </c>
      <c r="B707">
        <v>37</v>
      </c>
      <c r="C707">
        <v>62.46</v>
      </c>
      <c r="D707">
        <v>7</v>
      </c>
      <c r="E707" s="1">
        <v>38166</v>
      </c>
      <c r="F707" t="s">
        <v>0</v>
      </c>
      <c r="G707">
        <v>2</v>
      </c>
      <c r="H707">
        <v>2004</v>
      </c>
      <c r="I707" t="s">
        <v>1</v>
      </c>
      <c r="J707" t="s">
        <v>90</v>
      </c>
      <c r="K707" t="s">
        <v>173</v>
      </c>
      <c r="L707" t="s">
        <v>174</v>
      </c>
      <c r="M707" t="s">
        <v>175</v>
      </c>
      <c r="N707" t="s">
        <v>176</v>
      </c>
      <c r="O707" t="s">
        <v>177</v>
      </c>
      <c r="P707" t="s">
        <v>5</v>
      </c>
      <c r="Q707" t="s">
        <v>6</v>
      </c>
      <c r="R707" t="s">
        <v>330</v>
      </c>
      <c r="S707" t="s">
        <v>7</v>
      </c>
      <c r="T707" t="s">
        <v>331</v>
      </c>
      <c r="U707">
        <f>Sales_Order[[#This Row],[Quantity ordered]]*Sales_Order[[#This Row],[Price each]]</f>
        <v>2311.02</v>
      </c>
    </row>
    <row r="708" spans="1:21" x14ac:dyDescent="0.3">
      <c r="A708">
        <v>10285</v>
      </c>
      <c r="B708">
        <v>39</v>
      </c>
      <c r="C708">
        <v>70.08</v>
      </c>
      <c r="D708">
        <v>11</v>
      </c>
      <c r="E708" s="1">
        <v>38226</v>
      </c>
      <c r="F708" t="s">
        <v>0</v>
      </c>
      <c r="G708">
        <v>3</v>
      </c>
      <c r="H708">
        <v>2004</v>
      </c>
      <c r="I708" t="s">
        <v>1</v>
      </c>
      <c r="J708" t="s">
        <v>90</v>
      </c>
      <c r="K708" t="s">
        <v>178</v>
      </c>
      <c r="L708" t="s">
        <v>179</v>
      </c>
      <c r="M708" t="s">
        <v>180</v>
      </c>
      <c r="N708" t="s">
        <v>181</v>
      </c>
      <c r="O708" t="s">
        <v>182</v>
      </c>
      <c r="P708" t="s">
        <v>5</v>
      </c>
      <c r="Q708" t="s">
        <v>6</v>
      </c>
      <c r="R708" t="s">
        <v>332</v>
      </c>
      <c r="S708" t="s">
        <v>7</v>
      </c>
      <c r="T708" t="s">
        <v>322</v>
      </c>
      <c r="U708">
        <f>Sales_Order[[#This Row],[Quantity ordered]]*Sales_Order[[#This Row],[Price each]]</f>
        <v>2733.12</v>
      </c>
    </row>
    <row r="709" spans="1:21" x14ac:dyDescent="0.3">
      <c r="A709">
        <v>10308</v>
      </c>
      <c r="B709">
        <v>47</v>
      </c>
      <c r="C709">
        <v>63.22</v>
      </c>
      <c r="D709">
        <v>4</v>
      </c>
      <c r="E709" s="1">
        <v>38275</v>
      </c>
      <c r="F709" t="s">
        <v>0</v>
      </c>
      <c r="G709">
        <v>4</v>
      </c>
      <c r="H709">
        <v>2004</v>
      </c>
      <c r="I709" t="s">
        <v>1</v>
      </c>
      <c r="J709" t="s">
        <v>90</v>
      </c>
      <c r="K709" t="s">
        <v>248</v>
      </c>
      <c r="L709" t="s">
        <v>249</v>
      </c>
      <c r="M709" t="s">
        <v>250</v>
      </c>
      <c r="N709" t="s">
        <v>4</v>
      </c>
      <c r="O709" t="s">
        <v>251</v>
      </c>
      <c r="P709" t="s">
        <v>5</v>
      </c>
      <c r="Q709" t="s">
        <v>6</v>
      </c>
      <c r="R709" t="s">
        <v>356</v>
      </c>
      <c r="S709" t="s">
        <v>7</v>
      </c>
      <c r="T709" t="s">
        <v>324</v>
      </c>
      <c r="U709">
        <f>Sales_Order[[#This Row],[Quantity ordered]]*Sales_Order[[#This Row],[Price each]]</f>
        <v>2971.34</v>
      </c>
    </row>
    <row r="710" spans="1:21" x14ac:dyDescent="0.3">
      <c r="A710">
        <v>10318</v>
      </c>
      <c r="B710">
        <v>26</v>
      </c>
      <c r="C710">
        <v>86.83</v>
      </c>
      <c r="D710">
        <v>6</v>
      </c>
      <c r="E710" s="1">
        <v>38028</v>
      </c>
      <c r="F710" t="s">
        <v>0</v>
      </c>
      <c r="G710">
        <v>4</v>
      </c>
      <c r="H710">
        <v>2004</v>
      </c>
      <c r="I710" t="s">
        <v>1</v>
      </c>
      <c r="J710" t="s">
        <v>90</v>
      </c>
      <c r="K710" t="s">
        <v>183</v>
      </c>
      <c r="L710" t="s">
        <v>184</v>
      </c>
      <c r="M710" t="s">
        <v>185</v>
      </c>
      <c r="N710" t="s">
        <v>186</v>
      </c>
      <c r="O710" t="s">
        <v>187</v>
      </c>
      <c r="P710" t="s">
        <v>5</v>
      </c>
      <c r="Q710" t="s">
        <v>6</v>
      </c>
      <c r="R710" t="s">
        <v>333</v>
      </c>
      <c r="S710" t="s">
        <v>7</v>
      </c>
      <c r="T710" t="s">
        <v>334</v>
      </c>
      <c r="U710">
        <f>Sales_Order[[#This Row],[Quantity ordered]]*Sales_Order[[#This Row],[Price each]]</f>
        <v>2257.58</v>
      </c>
    </row>
    <row r="711" spans="1:21" x14ac:dyDescent="0.3">
      <c r="A711">
        <v>10329</v>
      </c>
      <c r="B711">
        <v>37</v>
      </c>
      <c r="C711">
        <v>94.43</v>
      </c>
      <c r="D711">
        <v>4</v>
      </c>
      <c r="E711" s="1">
        <v>38306</v>
      </c>
      <c r="F711" t="s">
        <v>0</v>
      </c>
      <c r="G711">
        <v>4</v>
      </c>
      <c r="H711">
        <v>2004</v>
      </c>
      <c r="I711" t="s">
        <v>1</v>
      </c>
      <c r="J711" t="s">
        <v>90</v>
      </c>
      <c r="K711" t="s">
        <v>155</v>
      </c>
      <c r="L711" t="s">
        <v>156</v>
      </c>
      <c r="M711" t="s">
        <v>3</v>
      </c>
      <c r="N711" t="s">
        <v>4</v>
      </c>
      <c r="O711" t="s">
        <v>135</v>
      </c>
      <c r="P711" t="s">
        <v>5</v>
      </c>
      <c r="Q711" t="s">
        <v>6</v>
      </c>
      <c r="R711" t="s">
        <v>319</v>
      </c>
      <c r="S711" t="s">
        <v>8</v>
      </c>
      <c r="T711" t="s">
        <v>334</v>
      </c>
      <c r="U711">
        <f>Sales_Order[[#This Row],[Quantity ordered]]*Sales_Order[[#This Row],[Price each]]</f>
        <v>3493.9100000000003</v>
      </c>
    </row>
    <row r="712" spans="1:21" x14ac:dyDescent="0.3">
      <c r="A712">
        <v>10142</v>
      </c>
      <c r="B712">
        <v>33</v>
      </c>
      <c r="C712">
        <v>100</v>
      </c>
      <c r="D712">
        <v>6</v>
      </c>
      <c r="E712" s="1">
        <v>37841</v>
      </c>
      <c r="F712" t="s">
        <v>0</v>
      </c>
      <c r="G712">
        <v>3</v>
      </c>
      <c r="H712">
        <v>2003</v>
      </c>
      <c r="I712" t="s">
        <v>68</v>
      </c>
      <c r="J712" t="s">
        <v>91</v>
      </c>
      <c r="K712" t="s">
        <v>225</v>
      </c>
      <c r="L712" t="s">
        <v>226</v>
      </c>
      <c r="M712" t="s">
        <v>227</v>
      </c>
      <c r="N712" t="s">
        <v>161</v>
      </c>
      <c r="O712" t="s">
        <v>177</v>
      </c>
      <c r="P712" t="s">
        <v>5</v>
      </c>
      <c r="Q712" t="s">
        <v>6</v>
      </c>
      <c r="R712" t="s">
        <v>349</v>
      </c>
      <c r="S712" t="s">
        <v>8</v>
      </c>
      <c r="T712" t="s">
        <v>322</v>
      </c>
      <c r="U712">
        <f>Sales_Order[[#This Row],[Quantity ordered]]*Sales_Order[[#This Row],[Price each]]</f>
        <v>3300</v>
      </c>
    </row>
    <row r="713" spans="1:21" x14ac:dyDescent="0.3">
      <c r="A713">
        <v>10185</v>
      </c>
      <c r="B713">
        <v>30</v>
      </c>
      <c r="C713">
        <v>100</v>
      </c>
      <c r="D713">
        <v>7</v>
      </c>
      <c r="E713" s="1">
        <v>37939</v>
      </c>
      <c r="F713" t="s">
        <v>0</v>
      </c>
      <c r="G713">
        <v>4</v>
      </c>
      <c r="H713">
        <v>2003</v>
      </c>
      <c r="I713" t="s">
        <v>68</v>
      </c>
      <c r="J713" t="s">
        <v>91</v>
      </c>
      <c r="K713" t="s">
        <v>252</v>
      </c>
      <c r="L713" t="s">
        <v>253</v>
      </c>
      <c r="M713" t="s">
        <v>191</v>
      </c>
      <c r="N713" t="s">
        <v>181</v>
      </c>
      <c r="O713" t="s">
        <v>192</v>
      </c>
      <c r="P713" t="s">
        <v>5</v>
      </c>
      <c r="Q713" t="s">
        <v>6</v>
      </c>
      <c r="R713" t="s">
        <v>357</v>
      </c>
      <c r="S713" t="s">
        <v>8</v>
      </c>
      <c r="T713" t="s">
        <v>334</v>
      </c>
      <c r="U713">
        <f>Sales_Order[[#This Row],[Quantity ordered]]*Sales_Order[[#This Row],[Price each]]</f>
        <v>3000</v>
      </c>
    </row>
    <row r="714" spans="1:21" x14ac:dyDescent="0.3">
      <c r="A714">
        <v>10232</v>
      </c>
      <c r="B714">
        <v>46</v>
      </c>
      <c r="C714">
        <v>100</v>
      </c>
      <c r="D714">
        <v>4</v>
      </c>
      <c r="E714" s="1">
        <v>38066</v>
      </c>
      <c r="F714" t="s">
        <v>0</v>
      </c>
      <c r="G714">
        <v>1</v>
      </c>
      <c r="H714">
        <v>2004</v>
      </c>
      <c r="I714" t="s">
        <v>68</v>
      </c>
      <c r="J714" t="s">
        <v>91</v>
      </c>
      <c r="K714" t="s">
        <v>267</v>
      </c>
      <c r="L714" t="s">
        <v>268</v>
      </c>
      <c r="M714" t="s">
        <v>269</v>
      </c>
      <c r="N714" t="s">
        <v>270</v>
      </c>
      <c r="O714" t="s">
        <v>271</v>
      </c>
      <c r="P714" t="s">
        <v>193</v>
      </c>
      <c r="Q714" t="s">
        <v>157</v>
      </c>
      <c r="R714" t="s">
        <v>362</v>
      </c>
      <c r="S714" t="s">
        <v>8</v>
      </c>
      <c r="T714" t="s">
        <v>338</v>
      </c>
      <c r="U714">
        <f>Sales_Order[[#This Row],[Quantity ordered]]*Sales_Order[[#This Row],[Price each]]</f>
        <v>4600</v>
      </c>
    </row>
    <row r="715" spans="1:21" x14ac:dyDescent="0.3">
      <c r="A715">
        <v>10248</v>
      </c>
      <c r="B715">
        <v>48</v>
      </c>
      <c r="C715">
        <v>100</v>
      </c>
      <c r="D715">
        <v>10</v>
      </c>
      <c r="E715" s="1">
        <v>38173</v>
      </c>
      <c r="F715" t="s">
        <v>254</v>
      </c>
      <c r="G715">
        <v>2</v>
      </c>
      <c r="H715">
        <v>2004</v>
      </c>
      <c r="I715" t="s">
        <v>68</v>
      </c>
      <c r="J715" t="s">
        <v>91</v>
      </c>
      <c r="K715" t="s">
        <v>155</v>
      </c>
      <c r="L715" t="s">
        <v>156</v>
      </c>
      <c r="M715" t="s">
        <v>3</v>
      </c>
      <c r="N715" t="s">
        <v>4</v>
      </c>
      <c r="O715" t="s">
        <v>135</v>
      </c>
      <c r="P715" t="s">
        <v>5</v>
      </c>
      <c r="Q715" t="s">
        <v>6</v>
      </c>
      <c r="R715" t="s">
        <v>319</v>
      </c>
      <c r="S715" t="s">
        <v>8</v>
      </c>
      <c r="T715" t="s">
        <v>329</v>
      </c>
      <c r="U715">
        <f>Sales_Order[[#This Row],[Quantity ordered]]*Sales_Order[[#This Row],[Price each]]</f>
        <v>4800</v>
      </c>
    </row>
    <row r="716" spans="1:21" x14ac:dyDescent="0.3">
      <c r="A716">
        <v>10261</v>
      </c>
      <c r="B716">
        <v>36</v>
      </c>
      <c r="C716">
        <v>100</v>
      </c>
      <c r="D716">
        <v>8</v>
      </c>
      <c r="E716" s="1">
        <v>38155</v>
      </c>
      <c r="F716" t="s">
        <v>0</v>
      </c>
      <c r="G716">
        <v>2</v>
      </c>
      <c r="H716">
        <v>2004</v>
      </c>
      <c r="I716" t="s">
        <v>68</v>
      </c>
      <c r="J716" t="s">
        <v>91</v>
      </c>
      <c r="K716" t="s">
        <v>237</v>
      </c>
      <c r="L716" t="s">
        <v>238</v>
      </c>
      <c r="M716" t="s">
        <v>239</v>
      </c>
      <c r="N716" t="s">
        <v>240</v>
      </c>
      <c r="O716" t="s">
        <v>241</v>
      </c>
      <c r="P716" t="s">
        <v>210</v>
      </c>
      <c r="Q716" t="s">
        <v>6</v>
      </c>
      <c r="R716" t="s">
        <v>353</v>
      </c>
      <c r="S716" t="s">
        <v>8</v>
      </c>
      <c r="T716" t="s">
        <v>331</v>
      </c>
      <c r="U716">
        <f>Sales_Order[[#This Row],[Quantity ordered]]*Sales_Order[[#This Row],[Price each]]</f>
        <v>3600</v>
      </c>
    </row>
    <row r="717" spans="1:21" x14ac:dyDescent="0.3">
      <c r="A717">
        <v>10283</v>
      </c>
      <c r="B717">
        <v>42</v>
      </c>
      <c r="C717">
        <v>100</v>
      </c>
      <c r="D717">
        <v>13</v>
      </c>
      <c r="E717" s="1">
        <v>38219</v>
      </c>
      <c r="F717" t="s">
        <v>0</v>
      </c>
      <c r="G717">
        <v>3</v>
      </c>
      <c r="H717">
        <v>2004</v>
      </c>
      <c r="I717" t="s">
        <v>68</v>
      </c>
      <c r="J717" t="s">
        <v>91</v>
      </c>
      <c r="K717" t="s">
        <v>259</v>
      </c>
      <c r="L717" t="s">
        <v>260</v>
      </c>
      <c r="M717" t="s">
        <v>261</v>
      </c>
      <c r="N717" t="s">
        <v>208</v>
      </c>
      <c r="O717" t="s">
        <v>262</v>
      </c>
      <c r="P717" t="s">
        <v>210</v>
      </c>
      <c r="Q717" t="s">
        <v>6</v>
      </c>
      <c r="R717" t="s">
        <v>359</v>
      </c>
      <c r="S717" t="s">
        <v>8</v>
      </c>
      <c r="T717" t="s">
        <v>322</v>
      </c>
      <c r="U717">
        <f>Sales_Order[[#This Row],[Quantity ordered]]*Sales_Order[[#This Row],[Price each]]</f>
        <v>4200</v>
      </c>
    </row>
    <row r="718" spans="1:21" x14ac:dyDescent="0.3">
      <c r="A718">
        <v>10337</v>
      </c>
      <c r="B718">
        <v>29</v>
      </c>
      <c r="C718">
        <v>71.97</v>
      </c>
      <c r="D718">
        <v>4</v>
      </c>
      <c r="E718" s="1">
        <v>38312</v>
      </c>
      <c r="F718" t="s">
        <v>0</v>
      </c>
      <c r="G718">
        <v>4</v>
      </c>
      <c r="H718">
        <v>2004</v>
      </c>
      <c r="I718" t="s">
        <v>68</v>
      </c>
      <c r="J718" t="s">
        <v>91</v>
      </c>
      <c r="K718" t="s">
        <v>24</v>
      </c>
      <c r="L718" t="s">
        <v>25</v>
      </c>
      <c r="M718" t="s">
        <v>3</v>
      </c>
      <c r="N718" t="s">
        <v>4</v>
      </c>
      <c r="O718" t="s">
        <v>135</v>
      </c>
      <c r="P718" t="s">
        <v>5</v>
      </c>
      <c r="Q718" t="s">
        <v>6</v>
      </c>
      <c r="R718" t="s">
        <v>340</v>
      </c>
      <c r="S718" t="s">
        <v>7</v>
      </c>
      <c r="T718" t="s">
        <v>334</v>
      </c>
      <c r="U718">
        <f>Sales_Order[[#This Row],[Quantity ordered]]*Sales_Order[[#This Row],[Price each]]</f>
        <v>2087.13</v>
      </c>
    </row>
    <row r="719" spans="1:21" x14ac:dyDescent="0.3">
      <c r="A719">
        <v>10372</v>
      </c>
      <c r="B719">
        <v>37</v>
      </c>
      <c r="C719">
        <v>100</v>
      </c>
      <c r="D719">
        <v>8</v>
      </c>
      <c r="E719" s="1">
        <v>38378</v>
      </c>
      <c r="F719" t="s">
        <v>0</v>
      </c>
      <c r="G719">
        <v>1</v>
      </c>
      <c r="H719">
        <v>2005</v>
      </c>
      <c r="I719" t="s">
        <v>68</v>
      </c>
      <c r="J719" t="s">
        <v>91</v>
      </c>
      <c r="K719" t="s">
        <v>220</v>
      </c>
      <c r="L719" t="s">
        <v>221</v>
      </c>
      <c r="M719" t="s">
        <v>222</v>
      </c>
      <c r="N719" t="s">
        <v>223</v>
      </c>
      <c r="O719" t="s">
        <v>224</v>
      </c>
      <c r="P719" t="s">
        <v>195</v>
      </c>
      <c r="Q719" t="s">
        <v>195</v>
      </c>
      <c r="R719" t="s">
        <v>348</v>
      </c>
      <c r="S719" t="s">
        <v>8</v>
      </c>
      <c r="T719" t="s">
        <v>345</v>
      </c>
      <c r="U719">
        <f>Sales_Order[[#This Row],[Quantity ordered]]*Sales_Order[[#This Row],[Price each]]</f>
        <v>3700</v>
      </c>
    </row>
    <row r="720" spans="1:21" x14ac:dyDescent="0.3">
      <c r="A720">
        <v>10396</v>
      </c>
      <c r="B720">
        <v>49</v>
      </c>
      <c r="C720">
        <v>100</v>
      </c>
      <c r="D720">
        <v>6</v>
      </c>
      <c r="E720" s="1">
        <v>38434</v>
      </c>
      <c r="F720" t="s">
        <v>0</v>
      </c>
      <c r="G720">
        <v>1</v>
      </c>
      <c r="H720">
        <v>2005</v>
      </c>
      <c r="I720" t="s">
        <v>68</v>
      </c>
      <c r="J720" t="s">
        <v>91</v>
      </c>
      <c r="K720" t="s">
        <v>225</v>
      </c>
      <c r="L720" t="s">
        <v>226</v>
      </c>
      <c r="M720" t="s">
        <v>227</v>
      </c>
      <c r="N720" t="s">
        <v>161</v>
      </c>
      <c r="O720" t="s">
        <v>177</v>
      </c>
      <c r="P720" t="s">
        <v>5</v>
      </c>
      <c r="Q720" t="s">
        <v>6</v>
      </c>
      <c r="R720" t="s">
        <v>349</v>
      </c>
      <c r="S720" t="s">
        <v>8</v>
      </c>
      <c r="T720" t="s">
        <v>338</v>
      </c>
      <c r="U720">
        <f>Sales_Order[[#This Row],[Quantity ordered]]*Sales_Order[[#This Row],[Price each]]</f>
        <v>4900</v>
      </c>
    </row>
    <row r="721" spans="1:21" x14ac:dyDescent="0.3">
      <c r="A721">
        <v>10414</v>
      </c>
      <c r="B721">
        <v>23</v>
      </c>
      <c r="C721">
        <v>100</v>
      </c>
      <c r="D721">
        <v>10</v>
      </c>
      <c r="E721" s="1">
        <v>38508</v>
      </c>
      <c r="F721" t="s">
        <v>275</v>
      </c>
      <c r="G721">
        <v>2</v>
      </c>
      <c r="H721">
        <v>2005</v>
      </c>
      <c r="I721" t="s">
        <v>68</v>
      </c>
      <c r="J721" t="s">
        <v>91</v>
      </c>
      <c r="K721" t="s">
        <v>263</v>
      </c>
      <c r="L721" t="s">
        <v>264</v>
      </c>
      <c r="M721" t="s">
        <v>265</v>
      </c>
      <c r="N721" t="s">
        <v>181</v>
      </c>
      <c r="O721" t="s">
        <v>266</v>
      </c>
      <c r="P721" t="s">
        <v>5</v>
      </c>
      <c r="Q721" t="s">
        <v>6</v>
      </c>
      <c r="R721" t="s">
        <v>360</v>
      </c>
      <c r="S721" t="s">
        <v>8</v>
      </c>
      <c r="T721" t="s">
        <v>329</v>
      </c>
      <c r="U721">
        <f>Sales_Order[[#This Row],[Quantity ordered]]*Sales_Order[[#This Row],[Price each]]</f>
        <v>2300</v>
      </c>
    </row>
    <row r="722" spans="1:21" x14ac:dyDescent="0.3">
      <c r="A722">
        <v>10124</v>
      </c>
      <c r="B722">
        <v>22</v>
      </c>
      <c r="C722">
        <v>45.25</v>
      </c>
      <c r="D722">
        <v>1</v>
      </c>
      <c r="E722" s="1">
        <v>37762</v>
      </c>
      <c r="F722" t="s">
        <v>0</v>
      </c>
      <c r="G722">
        <v>2</v>
      </c>
      <c r="H722">
        <v>2003</v>
      </c>
      <c r="I722" t="s">
        <v>49</v>
      </c>
      <c r="J722" t="s">
        <v>92</v>
      </c>
      <c r="K722" t="s">
        <v>290</v>
      </c>
      <c r="L722" t="s">
        <v>291</v>
      </c>
      <c r="M722" t="s">
        <v>292</v>
      </c>
      <c r="N722" t="s">
        <v>293</v>
      </c>
      <c r="O722" t="s">
        <v>294</v>
      </c>
      <c r="P722" t="s">
        <v>5</v>
      </c>
      <c r="Q722" t="s">
        <v>6</v>
      </c>
      <c r="R722" t="s">
        <v>370</v>
      </c>
      <c r="S722" t="s">
        <v>7</v>
      </c>
      <c r="T722" t="s">
        <v>329</v>
      </c>
      <c r="U722">
        <f>Sales_Order[[#This Row],[Quantity ordered]]*Sales_Order[[#This Row],[Price each]]</f>
        <v>995.5</v>
      </c>
    </row>
    <row r="723" spans="1:21" x14ac:dyDescent="0.3">
      <c r="A723">
        <v>10149</v>
      </c>
      <c r="B723">
        <v>49</v>
      </c>
      <c r="C723">
        <v>49.28</v>
      </c>
      <c r="D723">
        <v>6</v>
      </c>
      <c r="E723" s="1">
        <v>37964</v>
      </c>
      <c r="F723" t="s">
        <v>0</v>
      </c>
      <c r="G723">
        <v>3</v>
      </c>
      <c r="H723">
        <v>2003</v>
      </c>
      <c r="I723" t="s">
        <v>49</v>
      </c>
      <c r="J723" t="s">
        <v>92</v>
      </c>
      <c r="K723" t="s">
        <v>286</v>
      </c>
      <c r="L723" t="s">
        <v>287</v>
      </c>
      <c r="M723" t="s">
        <v>288</v>
      </c>
      <c r="N723" t="s">
        <v>161</v>
      </c>
      <c r="O723" t="s">
        <v>166</v>
      </c>
      <c r="P723" t="s">
        <v>5</v>
      </c>
      <c r="Q723" t="s">
        <v>6</v>
      </c>
      <c r="R723" t="s">
        <v>369</v>
      </c>
      <c r="S723" t="s">
        <v>7</v>
      </c>
      <c r="T723" t="s">
        <v>361</v>
      </c>
      <c r="U723">
        <f>Sales_Order[[#This Row],[Quantity ordered]]*Sales_Order[[#This Row],[Price each]]</f>
        <v>2414.7200000000003</v>
      </c>
    </row>
    <row r="724" spans="1:21" x14ac:dyDescent="0.3">
      <c r="A724">
        <v>10182</v>
      </c>
      <c r="B724">
        <v>31</v>
      </c>
      <c r="C724">
        <v>36.74</v>
      </c>
      <c r="D724">
        <v>5</v>
      </c>
      <c r="E724" s="1">
        <v>37966</v>
      </c>
      <c r="F724" t="s">
        <v>0</v>
      </c>
      <c r="G724">
        <v>4</v>
      </c>
      <c r="H724">
        <v>2003</v>
      </c>
      <c r="I724" t="s">
        <v>49</v>
      </c>
      <c r="J724" t="s">
        <v>92</v>
      </c>
      <c r="K724" t="s">
        <v>225</v>
      </c>
      <c r="L724" t="s">
        <v>226</v>
      </c>
      <c r="M724" t="s">
        <v>227</v>
      </c>
      <c r="N724" t="s">
        <v>161</v>
      </c>
      <c r="O724" t="s">
        <v>177</v>
      </c>
      <c r="P724" t="s">
        <v>5</v>
      </c>
      <c r="Q724" t="s">
        <v>6</v>
      </c>
      <c r="R724" t="s">
        <v>349</v>
      </c>
      <c r="S724" t="s">
        <v>7</v>
      </c>
      <c r="T724" t="s">
        <v>334</v>
      </c>
      <c r="U724">
        <f>Sales_Order[[#This Row],[Quantity ordered]]*Sales_Order[[#This Row],[Price each]]</f>
        <v>1138.94</v>
      </c>
    </row>
    <row r="725" spans="1:21" x14ac:dyDescent="0.3">
      <c r="A725">
        <v>10193</v>
      </c>
      <c r="B725">
        <v>20</v>
      </c>
      <c r="C725">
        <v>50.62</v>
      </c>
      <c r="D725">
        <v>9</v>
      </c>
      <c r="E725" s="1">
        <v>37946</v>
      </c>
      <c r="F725" t="s">
        <v>0</v>
      </c>
      <c r="G725">
        <v>4</v>
      </c>
      <c r="H725">
        <v>2003</v>
      </c>
      <c r="I725" t="s">
        <v>49</v>
      </c>
      <c r="J725" t="s">
        <v>92</v>
      </c>
      <c r="K725" t="s">
        <v>296</v>
      </c>
      <c r="L725" t="s">
        <v>297</v>
      </c>
      <c r="M725" t="s">
        <v>298</v>
      </c>
      <c r="N725" t="s">
        <v>12</v>
      </c>
      <c r="O725" t="s">
        <v>299</v>
      </c>
      <c r="P725" t="s">
        <v>13</v>
      </c>
      <c r="Q725" t="s">
        <v>14</v>
      </c>
      <c r="R725" t="s">
        <v>371</v>
      </c>
      <c r="S725" t="s">
        <v>7</v>
      </c>
      <c r="T725" t="s">
        <v>334</v>
      </c>
      <c r="U725">
        <f>Sales_Order[[#This Row],[Quantity ordered]]*Sales_Order[[#This Row],[Price each]]</f>
        <v>1012.4</v>
      </c>
    </row>
    <row r="726" spans="1:21" x14ac:dyDescent="0.3">
      <c r="A726">
        <v>10312</v>
      </c>
      <c r="B726">
        <v>23</v>
      </c>
      <c r="C726">
        <v>37.630000000000003</v>
      </c>
      <c r="D726">
        <v>12</v>
      </c>
      <c r="E726" s="1">
        <v>38281</v>
      </c>
      <c r="F726" t="s">
        <v>0</v>
      </c>
      <c r="G726">
        <v>4</v>
      </c>
      <c r="H726">
        <v>2004</v>
      </c>
      <c r="I726" t="s">
        <v>49</v>
      </c>
      <c r="J726" t="s">
        <v>92</v>
      </c>
      <c r="K726" t="s">
        <v>225</v>
      </c>
      <c r="L726" t="s">
        <v>226</v>
      </c>
      <c r="M726" t="s">
        <v>227</v>
      </c>
      <c r="N726" t="s">
        <v>161</v>
      </c>
      <c r="O726" t="s">
        <v>177</v>
      </c>
      <c r="P726" t="s">
        <v>5</v>
      </c>
      <c r="Q726" t="s">
        <v>6</v>
      </c>
      <c r="R726" t="s">
        <v>349</v>
      </c>
      <c r="S726" t="s">
        <v>7</v>
      </c>
      <c r="T726" t="s">
        <v>324</v>
      </c>
      <c r="U726">
        <f>Sales_Order[[#This Row],[Quantity ordered]]*Sales_Order[[#This Row],[Price each]]</f>
        <v>865.49</v>
      </c>
    </row>
    <row r="727" spans="1:21" x14ac:dyDescent="0.3">
      <c r="A727">
        <v>10322</v>
      </c>
      <c r="B727">
        <v>30</v>
      </c>
      <c r="C727">
        <v>100</v>
      </c>
      <c r="D727">
        <v>4</v>
      </c>
      <c r="E727" s="1">
        <v>38088</v>
      </c>
      <c r="F727" t="s">
        <v>0</v>
      </c>
      <c r="G727">
        <v>4</v>
      </c>
      <c r="H727">
        <v>2004</v>
      </c>
      <c r="I727" t="s">
        <v>49</v>
      </c>
      <c r="J727" t="s">
        <v>92</v>
      </c>
      <c r="K727" t="s">
        <v>228</v>
      </c>
      <c r="L727" t="s">
        <v>229</v>
      </c>
      <c r="M727" t="s">
        <v>230</v>
      </c>
      <c r="N727" t="s">
        <v>231</v>
      </c>
      <c r="O727" t="s">
        <v>232</v>
      </c>
      <c r="P727" t="s">
        <v>5</v>
      </c>
      <c r="Q727" t="s">
        <v>6</v>
      </c>
      <c r="R727" t="s">
        <v>350</v>
      </c>
      <c r="S727" t="s">
        <v>8</v>
      </c>
      <c r="T727" t="s">
        <v>334</v>
      </c>
      <c r="U727">
        <f>Sales_Order[[#This Row],[Quantity ordered]]*Sales_Order[[#This Row],[Price each]]</f>
        <v>3000</v>
      </c>
    </row>
    <row r="728" spans="1:21" x14ac:dyDescent="0.3">
      <c r="A728">
        <v>10367</v>
      </c>
      <c r="B728">
        <v>28</v>
      </c>
      <c r="C728">
        <v>30.59</v>
      </c>
      <c r="D728">
        <v>12</v>
      </c>
      <c r="E728" s="1">
        <v>38687</v>
      </c>
      <c r="F728" t="s">
        <v>276</v>
      </c>
      <c r="G728">
        <v>1</v>
      </c>
      <c r="H728">
        <v>2005</v>
      </c>
      <c r="I728" t="s">
        <v>49</v>
      </c>
      <c r="J728" t="s">
        <v>92</v>
      </c>
      <c r="K728" t="s">
        <v>158</v>
      </c>
      <c r="L728" t="s">
        <v>159</v>
      </c>
      <c r="M728" t="s">
        <v>160</v>
      </c>
      <c r="N728" t="s">
        <v>161</v>
      </c>
      <c r="O728" t="s">
        <v>162</v>
      </c>
      <c r="P728" t="s">
        <v>5</v>
      </c>
      <c r="Q728" t="s">
        <v>6</v>
      </c>
      <c r="R728" t="s">
        <v>321</v>
      </c>
      <c r="S728" t="s">
        <v>7</v>
      </c>
      <c r="T728" t="s">
        <v>345</v>
      </c>
      <c r="U728">
        <f>Sales_Order[[#This Row],[Quantity ordered]]*Sales_Order[[#This Row],[Price each]]</f>
        <v>856.52</v>
      </c>
    </row>
    <row r="729" spans="1:21" x14ac:dyDescent="0.3">
      <c r="A729">
        <v>10391</v>
      </c>
      <c r="B729">
        <v>24</v>
      </c>
      <c r="C729">
        <v>100</v>
      </c>
      <c r="D729">
        <v>1</v>
      </c>
      <c r="E729" s="1">
        <v>38598</v>
      </c>
      <c r="F729" t="s">
        <v>0</v>
      </c>
      <c r="G729">
        <v>1</v>
      </c>
      <c r="H729">
        <v>2005</v>
      </c>
      <c r="I729" t="s">
        <v>49</v>
      </c>
      <c r="J729" t="s">
        <v>92</v>
      </c>
      <c r="K729" t="s">
        <v>26</v>
      </c>
      <c r="L729" t="s">
        <v>27</v>
      </c>
      <c r="M729" t="s">
        <v>28</v>
      </c>
      <c r="N729" t="s">
        <v>21</v>
      </c>
      <c r="O729" t="s">
        <v>137</v>
      </c>
      <c r="P729" t="s">
        <v>13</v>
      </c>
      <c r="Q729" t="s">
        <v>14</v>
      </c>
      <c r="R729" t="s">
        <v>352</v>
      </c>
      <c r="S729" t="s">
        <v>8</v>
      </c>
      <c r="T729" t="s">
        <v>338</v>
      </c>
      <c r="U729">
        <f>Sales_Order[[#This Row],[Quantity ordered]]*Sales_Order[[#This Row],[Price each]]</f>
        <v>2400</v>
      </c>
    </row>
    <row r="730" spans="1:21" x14ac:dyDescent="0.3">
      <c r="A730">
        <v>10421</v>
      </c>
      <c r="B730">
        <v>40</v>
      </c>
      <c r="C730">
        <v>45.7</v>
      </c>
      <c r="D730">
        <v>2</v>
      </c>
      <c r="E730" s="1">
        <v>38501</v>
      </c>
      <c r="F730" t="s">
        <v>29</v>
      </c>
      <c r="G730">
        <v>2</v>
      </c>
      <c r="H730">
        <v>2005</v>
      </c>
      <c r="I730" t="s">
        <v>49</v>
      </c>
      <c r="J730" t="s">
        <v>92</v>
      </c>
      <c r="K730" t="s">
        <v>225</v>
      </c>
      <c r="L730" t="s">
        <v>226</v>
      </c>
      <c r="M730" t="s">
        <v>227</v>
      </c>
      <c r="N730" t="s">
        <v>161</v>
      </c>
      <c r="O730" t="s">
        <v>177</v>
      </c>
      <c r="P730" t="s">
        <v>5</v>
      </c>
      <c r="Q730" t="s">
        <v>6</v>
      </c>
      <c r="R730" t="s">
        <v>349</v>
      </c>
      <c r="S730" t="s">
        <v>7</v>
      </c>
      <c r="T730" t="s">
        <v>329</v>
      </c>
      <c r="U730">
        <f>Sales_Order[[#This Row],[Quantity ordered]]*Sales_Order[[#This Row],[Price each]]</f>
        <v>1828</v>
      </c>
    </row>
    <row r="731" spans="1:21" x14ac:dyDescent="0.3">
      <c r="A731">
        <v>10140</v>
      </c>
      <c r="B731">
        <v>47</v>
      </c>
      <c r="C731">
        <v>100</v>
      </c>
      <c r="D731">
        <v>1</v>
      </c>
      <c r="E731" s="1">
        <v>37826</v>
      </c>
      <c r="F731" t="s">
        <v>0</v>
      </c>
      <c r="G731">
        <v>3</v>
      </c>
      <c r="H731">
        <v>2003</v>
      </c>
      <c r="I731" t="s">
        <v>38</v>
      </c>
      <c r="J731" t="s">
        <v>93</v>
      </c>
      <c r="K731" t="s">
        <v>163</v>
      </c>
      <c r="L731" t="s">
        <v>164</v>
      </c>
      <c r="M731" t="s">
        <v>165</v>
      </c>
      <c r="N731" t="s">
        <v>161</v>
      </c>
      <c r="O731" t="s">
        <v>166</v>
      </c>
      <c r="P731" t="s">
        <v>5</v>
      </c>
      <c r="Q731" t="s">
        <v>6</v>
      </c>
      <c r="R731" t="s">
        <v>323</v>
      </c>
      <c r="S731" t="s">
        <v>8</v>
      </c>
      <c r="T731" t="s">
        <v>339</v>
      </c>
      <c r="U731">
        <f>Sales_Order[[#This Row],[Quantity ordered]]*Sales_Order[[#This Row],[Price each]]</f>
        <v>4700</v>
      </c>
    </row>
    <row r="732" spans="1:21" x14ac:dyDescent="0.3">
      <c r="A732">
        <v>10207</v>
      </c>
      <c r="B732">
        <v>46</v>
      </c>
      <c r="C732">
        <v>100</v>
      </c>
      <c r="D732">
        <v>12</v>
      </c>
      <c r="E732" s="1">
        <v>37876</v>
      </c>
      <c r="F732" t="s">
        <v>0</v>
      </c>
      <c r="G732">
        <v>4</v>
      </c>
      <c r="H732">
        <v>2003</v>
      </c>
      <c r="I732" t="s">
        <v>38</v>
      </c>
      <c r="J732" t="s">
        <v>93</v>
      </c>
      <c r="K732" t="s">
        <v>277</v>
      </c>
      <c r="L732" t="s">
        <v>278</v>
      </c>
      <c r="M732" t="s">
        <v>265</v>
      </c>
      <c r="N732" t="s">
        <v>181</v>
      </c>
      <c r="O732" t="s">
        <v>266</v>
      </c>
      <c r="P732" t="s">
        <v>5</v>
      </c>
      <c r="Q732" t="s">
        <v>6</v>
      </c>
      <c r="R732" t="s">
        <v>364</v>
      </c>
      <c r="S732" t="s">
        <v>8</v>
      </c>
      <c r="T732" t="s">
        <v>336</v>
      </c>
      <c r="U732">
        <f>Sales_Order[[#This Row],[Quantity ordered]]*Sales_Order[[#This Row],[Price each]]</f>
        <v>4600</v>
      </c>
    </row>
    <row r="733" spans="1:21" x14ac:dyDescent="0.3">
      <c r="A733">
        <v>10229</v>
      </c>
      <c r="B733">
        <v>48</v>
      </c>
      <c r="C733">
        <v>100</v>
      </c>
      <c r="D733">
        <v>6</v>
      </c>
      <c r="E733" s="1">
        <v>38294</v>
      </c>
      <c r="F733" t="s">
        <v>0</v>
      </c>
      <c r="G733">
        <v>1</v>
      </c>
      <c r="H733">
        <v>2004</v>
      </c>
      <c r="I733" t="s">
        <v>38</v>
      </c>
      <c r="J733" t="s">
        <v>93</v>
      </c>
      <c r="K733" t="s">
        <v>225</v>
      </c>
      <c r="L733" t="s">
        <v>226</v>
      </c>
      <c r="M733" t="s">
        <v>227</v>
      </c>
      <c r="N733" t="s">
        <v>161</v>
      </c>
      <c r="O733" t="s">
        <v>177</v>
      </c>
      <c r="P733" t="s">
        <v>5</v>
      </c>
      <c r="Q733" t="s">
        <v>6</v>
      </c>
      <c r="R733" t="s">
        <v>349</v>
      </c>
      <c r="S733" t="s">
        <v>8</v>
      </c>
      <c r="T733" t="s">
        <v>338</v>
      </c>
      <c r="U733">
        <f>Sales_Order[[#This Row],[Quantity ordered]]*Sales_Order[[#This Row],[Price each]]</f>
        <v>4800</v>
      </c>
    </row>
    <row r="734" spans="1:21" x14ac:dyDescent="0.3">
      <c r="A734">
        <v>10271</v>
      </c>
      <c r="B734">
        <v>43</v>
      </c>
      <c r="C734">
        <v>100</v>
      </c>
      <c r="D734">
        <v>10</v>
      </c>
      <c r="E734" s="1">
        <v>38188</v>
      </c>
      <c r="F734" t="s">
        <v>0</v>
      </c>
      <c r="G734">
        <v>3</v>
      </c>
      <c r="H734">
        <v>2004</v>
      </c>
      <c r="I734" t="s">
        <v>38</v>
      </c>
      <c r="J734" t="s">
        <v>93</v>
      </c>
      <c r="K734" t="s">
        <v>225</v>
      </c>
      <c r="L734" t="s">
        <v>226</v>
      </c>
      <c r="M734" t="s">
        <v>227</v>
      </c>
      <c r="N734" t="s">
        <v>161</v>
      </c>
      <c r="O734" t="s">
        <v>177</v>
      </c>
      <c r="P734" t="s">
        <v>5</v>
      </c>
      <c r="Q734" t="s">
        <v>6</v>
      </c>
      <c r="R734" t="s">
        <v>349</v>
      </c>
      <c r="S734" t="s">
        <v>8</v>
      </c>
      <c r="T734" t="s">
        <v>339</v>
      </c>
      <c r="U734">
        <f>Sales_Order[[#This Row],[Quantity ordered]]*Sales_Order[[#This Row],[Price each]]</f>
        <v>4300</v>
      </c>
    </row>
    <row r="735" spans="1:21" x14ac:dyDescent="0.3">
      <c r="A735">
        <v>10281</v>
      </c>
      <c r="B735">
        <v>25</v>
      </c>
      <c r="C735">
        <v>100</v>
      </c>
      <c r="D735">
        <v>6</v>
      </c>
      <c r="E735" s="1">
        <v>38218</v>
      </c>
      <c r="F735" t="s">
        <v>0</v>
      </c>
      <c r="G735">
        <v>3</v>
      </c>
      <c r="H735">
        <v>2004</v>
      </c>
      <c r="I735" t="s">
        <v>38</v>
      </c>
      <c r="J735" t="s">
        <v>93</v>
      </c>
      <c r="K735" t="s">
        <v>183</v>
      </c>
      <c r="L735" t="s">
        <v>184</v>
      </c>
      <c r="M735" t="s">
        <v>185</v>
      </c>
      <c r="N735" t="s">
        <v>186</v>
      </c>
      <c r="O735" t="s">
        <v>187</v>
      </c>
      <c r="P735" t="s">
        <v>5</v>
      </c>
      <c r="Q735" t="s">
        <v>6</v>
      </c>
      <c r="R735" t="s">
        <v>333</v>
      </c>
      <c r="S735" t="s">
        <v>7</v>
      </c>
      <c r="T735" t="s">
        <v>322</v>
      </c>
      <c r="U735">
        <f>Sales_Order[[#This Row],[Quantity ordered]]*Sales_Order[[#This Row],[Price each]]</f>
        <v>2500</v>
      </c>
    </row>
    <row r="736" spans="1:21" x14ac:dyDescent="0.3">
      <c r="A736">
        <v>10305</v>
      </c>
      <c r="B736">
        <v>24</v>
      </c>
      <c r="C736">
        <v>100</v>
      </c>
      <c r="D736">
        <v>10</v>
      </c>
      <c r="E736" s="1">
        <v>38273</v>
      </c>
      <c r="F736" t="s">
        <v>0</v>
      </c>
      <c r="G736">
        <v>4</v>
      </c>
      <c r="H736">
        <v>2004</v>
      </c>
      <c r="I736" t="s">
        <v>38</v>
      </c>
      <c r="J736" t="s">
        <v>93</v>
      </c>
      <c r="K736" t="s">
        <v>178</v>
      </c>
      <c r="L736" t="s">
        <v>179</v>
      </c>
      <c r="M736" t="s">
        <v>180</v>
      </c>
      <c r="N736" t="s">
        <v>181</v>
      </c>
      <c r="O736" t="s">
        <v>182</v>
      </c>
      <c r="P736" t="s">
        <v>5</v>
      </c>
      <c r="Q736" t="s">
        <v>6</v>
      </c>
      <c r="R736" t="s">
        <v>332</v>
      </c>
      <c r="S736" t="s">
        <v>8</v>
      </c>
      <c r="T736" t="s">
        <v>324</v>
      </c>
      <c r="U736">
        <f>Sales_Order[[#This Row],[Quantity ordered]]*Sales_Order[[#This Row],[Price each]]</f>
        <v>2400</v>
      </c>
    </row>
    <row r="737" spans="1:21" x14ac:dyDescent="0.3">
      <c r="A737">
        <v>10313</v>
      </c>
      <c r="B737">
        <v>42</v>
      </c>
      <c r="C737">
        <v>100</v>
      </c>
      <c r="D737">
        <v>4</v>
      </c>
      <c r="E737" s="1">
        <v>38282</v>
      </c>
      <c r="F737" t="s">
        <v>0</v>
      </c>
      <c r="G737">
        <v>4</v>
      </c>
      <c r="H737">
        <v>2004</v>
      </c>
      <c r="I737" t="s">
        <v>38</v>
      </c>
      <c r="J737" t="s">
        <v>93</v>
      </c>
      <c r="K737" t="s">
        <v>205</v>
      </c>
      <c r="L737" t="s">
        <v>206</v>
      </c>
      <c r="M737" t="s">
        <v>207</v>
      </c>
      <c r="N737" t="s">
        <v>208</v>
      </c>
      <c r="O737" t="s">
        <v>209</v>
      </c>
      <c r="P737" t="s">
        <v>210</v>
      </c>
      <c r="Q737" t="s">
        <v>6</v>
      </c>
      <c r="R737" t="s">
        <v>343</v>
      </c>
      <c r="S737" t="s">
        <v>8</v>
      </c>
      <c r="T737" t="s">
        <v>324</v>
      </c>
      <c r="U737">
        <f>Sales_Order[[#This Row],[Quantity ordered]]*Sales_Order[[#This Row],[Price each]]</f>
        <v>4200</v>
      </c>
    </row>
    <row r="738" spans="1:21" x14ac:dyDescent="0.3">
      <c r="A738">
        <v>10324</v>
      </c>
      <c r="B738">
        <v>31</v>
      </c>
      <c r="C738">
        <v>100</v>
      </c>
      <c r="D738">
        <v>2</v>
      </c>
      <c r="E738" s="1">
        <v>38118</v>
      </c>
      <c r="F738" t="s">
        <v>0</v>
      </c>
      <c r="G738">
        <v>4</v>
      </c>
      <c r="H738">
        <v>2004</v>
      </c>
      <c r="I738" t="s">
        <v>38</v>
      </c>
      <c r="J738" t="s">
        <v>93</v>
      </c>
      <c r="K738" t="s">
        <v>15</v>
      </c>
      <c r="L738" t="s">
        <v>16</v>
      </c>
      <c r="M738" t="s">
        <v>3</v>
      </c>
      <c r="N738" t="s">
        <v>4</v>
      </c>
      <c r="O738" t="s">
        <v>135</v>
      </c>
      <c r="P738" t="s">
        <v>5</v>
      </c>
      <c r="Q738" t="s">
        <v>6</v>
      </c>
      <c r="R738" t="s">
        <v>326</v>
      </c>
      <c r="S738" t="s">
        <v>8</v>
      </c>
      <c r="T738" t="s">
        <v>334</v>
      </c>
      <c r="U738">
        <f>Sales_Order[[#This Row],[Quantity ordered]]*Sales_Order[[#This Row],[Price each]]</f>
        <v>3100</v>
      </c>
    </row>
    <row r="739" spans="1:21" x14ac:dyDescent="0.3">
      <c r="A739">
        <v>10371</v>
      </c>
      <c r="B739">
        <v>20</v>
      </c>
      <c r="C739">
        <v>100</v>
      </c>
      <c r="D739">
        <v>5</v>
      </c>
      <c r="E739" s="1">
        <v>38375</v>
      </c>
      <c r="F739" t="s">
        <v>0</v>
      </c>
      <c r="G739">
        <v>1</v>
      </c>
      <c r="H739">
        <v>2005</v>
      </c>
      <c r="I739" t="s">
        <v>38</v>
      </c>
      <c r="J739" t="s">
        <v>93</v>
      </c>
      <c r="K739" t="s">
        <v>225</v>
      </c>
      <c r="L739" t="s">
        <v>226</v>
      </c>
      <c r="M739" t="s">
        <v>227</v>
      </c>
      <c r="N739" t="s">
        <v>161</v>
      </c>
      <c r="O739" t="s">
        <v>177</v>
      </c>
      <c r="P739" t="s">
        <v>5</v>
      </c>
      <c r="Q739" t="s">
        <v>6</v>
      </c>
      <c r="R739" t="s">
        <v>349</v>
      </c>
      <c r="S739" t="s">
        <v>8</v>
      </c>
      <c r="T739" t="s">
        <v>345</v>
      </c>
      <c r="U739">
        <f>Sales_Order[[#This Row],[Quantity ordered]]*Sales_Order[[#This Row],[Price each]]</f>
        <v>2000</v>
      </c>
    </row>
    <row r="740" spans="1:21" x14ac:dyDescent="0.3">
      <c r="A740">
        <v>10382</v>
      </c>
      <c r="B740">
        <v>20</v>
      </c>
      <c r="C740">
        <v>100</v>
      </c>
      <c r="D740">
        <v>3</v>
      </c>
      <c r="E740" s="1">
        <v>38400</v>
      </c>
      <c r="F740" t="s">
        <v>0</v>
      </c>
      <c r="G740">
        <v>1</v>
      </c>
      <c r="H740">
        <v>2005</v>
      </c>
      <c r="I740" t="s">
        <v>38</v>
      </c>
      <c r="J740" t="s">
        <v>93</v>
      </c>
      <c r="K740" t="s">
        <v>225</v>
      </c>
      <c r="L740" t="s">
        <v>226</v>
      </c>
      <c r="M740" t="s">
        <v>227</v>
      </c>
      <c r="N740" t="s">
        <v>161</v>
      </c>
      <c r="O740" t="s">
        <v>177</v>
      </c>
      <c r="P740" t="s">
        <v>5</v>
      </c>
      <c r="Q740" t="s">
        <v>6</v>
      </c>
      <c r="R740" t="s">
        <v>349</v>
      </c>
      <c r="S740" t="s">
        <v>7</v>
      </c>
      <c r="T740" t="s">
        <v>320</v>
      </c>
      <c r="U740">
        <f>Sales_Order[[#This Row],[Quantity ordered]]*Sales_Order[[#This Row],[Price each]]</f>
        <v>2000</v>
      </c>
    </row>
    <row r="741" spans="1:21" x14ac:dyDescent="0.3">
      <c r="A741">
        <v>10135</v>
      </c>
      <c r="B741">
        <v>29</v>
      </c>
      <c r="C741">
        <v>61.64</v>
      </c>
      <c r="D741">
        <v>16</v>
      </c>
      <c r="E741" s="1">
        <v>37659</v>
      </c>
      <c r="F741" t="s">
        <v>0</v>
      </c>
      <c r="G741">
        <v>3</v>
      </c>
      <c r="H741">
        <v>2003</v>
      </c>
      <c r="I741" t="s">
        <v>1</v>
      </c>
      <c r="J741" t="s">
        <v>94</v>
      </c>
      <c r="K741" t="s">
        <v>225</v>
      </c>
      <c r="L741" t="s">
        <v>226</v>
      </c>
      <c r="M741" t="s">
        <v>227</v>
      </c>
      <c r="N741" t="s">
        <v>161</v>
      </c>
      <c r="O741" t="s">
        <v>177</v>
      </c>
      <c r="P741" t="s">
        <v>5</v>
      </c>
      <c r="Q741" t="s">
        <v>6</v>
      </c>
      <c r="R741" t="s">
        <v>349</v>
      </c>
      <c r="S741" t="s">
        <v>7</v>
      </c>
      <c r="T741" t="s">
        <v>339</v>
      </c>
      <c r="U741">
        <f>Sales_Order[[#This Row],[Quantity ordered]]*Sales_Order[[#This Row],[Price each]]</f>
        <v>1787.56</v>
      </c>
    </row>
    <row r="742" spans="1:21" x14ac:dyDescent="0.3">
      <c r="A742">
        <v>10145</v>
      </c>
      <c r="B742">
        <v>27</v>
      </c>
      <c r="C742">
        <v>60.95</v>
      </c>
      <c r="D742">
        <v>3</v>
      </c>
      <c r="E742" s="1">
        <v>37858</v>
      </c>
      <c r="F742" t="s">
        <v>0</v>
      </c>
      <c r="G742">
        <v>3</v>
      </c>
      <c r="H742">
        <v>2003</v>
      </c>
      <c r="I742" t="s">
        <v>1</v>
      </c>
      <c r="J742" t="s">
        <v>94</v>
      </c>
      <c r="K742" t="s">
        <v>158</v>
      </c>
      <c r="L742" t="s">
        <v>159</v>
      </c>
      <c r="M742" t="s">
        <v>160</v>
      </c>
      <c r="N742" t="s">
        <v>161</v>
      </c>
      <c r="O742" t="s">
        <v>162</v>
      </c>
      <c r="P742" t="s">
        <v>5</v>
      </c>
      <c r="Q742" t="s">
        <v>6</v>
      </c>
      <c r="R742" t="s">
        <v>321</v>
      </c>
      <c r="S742" t="s">
        <v>7</v>
      </c>
      <c r="T742" t="s">
        <v>322</v>
      </c>
      <c r="U742">
        <f>Sales_Order[[#This Row],[Quantity ordered]]*Sales_Order[[#This Row],[Price each]]</f>
        <v>1645.65</v>
      </c>
    </row>
    <row r="743" spans="1:21" x14ac:dyDescent="0.3">
      <c r="A743">
        <v>10169</v>
      </c>
      <c r="B743">
        <v>38</v>
      </c>
      <c r="C743">
        <v>74.11</v>
      </c>
      <c r="D743">
        <v>11</v>
      </c>
      <c r="E743" s="1">
        <v>37722</v>
      </c>
      <c r="F743" t="s">
        <v>0</v>
      </c>
      <c r="G743">
        <v>4</v>
      </c>
      <c r="H743">
        <v>2003</v>
      </c>
      <c r="I743" t="s">
        <v>1</v>
      </c>
      <c r="J743" t="s">
        <v>94</v>
      </c>
      <c r="K743" t="s">
        <v>26</v>
      </c>
      <c r="L743" t="s">
        <v>27</v>
      </c>
      <c r="M743" t="s">
        <v>28</v>
      </c>
      <c r="N743" t="s">
        <v>21</v>
      </c>
      <c r="O743" t="s">
        <v>137</v>
      </c>
      <c r="P743" t="s">
        <v>13</v>
      </c>
      <c r="Q743" t="s">
        <v>14</v>
      </c>
      <c r="R743" t="s">
        <v>352</v>
      </c>
      <c r="S743" t="s">
        <v>7</v>
      </c>
      <c r="T743" t="s">
        <v>334</v>
      </c>
      <c r="U743">
        <f>Sales_Order[[#This Row],[Quantity ordered]]*Sales_Order[[#This Row],[Price each]]</f>
        <v>2816.18</v>
      </c>
    </row>
    <row r="744" spans="1:21" x14ac:dyDescent="0.3">
      <c r="A744">
        <v>10237</v>
      </c>
      <c r="B744">
        <v>26</v>
      </c>
      <c r="C744">
        <v>79.650000000000006</v>
      </c>
      <c r="D744">
        <v>4</v>
      </c>
      <c r="E744" s="1">
        <v>38111</v>
      </c>
      <c r="F744" t="s">
        <v>0</v>
      </c>
      <c r="G744">
        <v>2</v>
      </c>
      <c r="H744">
        <v>2004</v>
      </c>
      <c r="I744" t="s">
        <v>1</v>
      </c>
      <c r="J744" t="s">
        <v>94</v>
      </c>
      <c r="K744" t="s">
        <v>15</v>
      </c>
      <c r="L744" t="s">
        <v>16</v>
      </c>
      <c r="M744" t="s">
        <v>3</v>
      </c>
      <c r="N744" t="s">
        <v>4</v>
      </c>
      <c r="O744" t="s">
        <v>135</v>
      </c>
      <c r="P744" t="s">
        <v>5</v>
      </c>
      <c r="Q744" t="s">
        <v>6</v>
      </c>
      <c r="R744" t="s">
        <v>326</v>
      </c>
      <c r="S744" t="s">
        <v>7</v>
      </c>
      <c r="T744" t="s">
        <v>327</v>
      </c>
      <c r="U744">
        <f>Sales_Order[[#This Row],[Quantity ordered]]*Sales_Order[[#This Row],[Price each]]</f>
        <v>2070.9</v>
      </c>
    </row>
    <row r="745" spans="1:21" x14ac:dyDescent="0.3">
      <c r="A745">
        <v>10264</v>
      </c>
      <c r="B745">
        <v>37</v>
      </c>
      <c r="C745">
        <v>65.099999999999994</v>
      </c>
      <c r="D745">
        <v>6</v>
      </c>
      <c r="E745" s="1">
        <v>38168</v>
      </c>
      <c r="F745" t="s">
        <v>0</v>
      </c>
      <c r="G745">
        <v>2</v>
      </c>
      <c r="H745">
        <v>2004</v>
      </c>
      <c r="I745" t="s">
        <v>1</v>
      </c>
      <c r="J745" t="s">
        <v>94</v>
      </c>
      <c r="K745" t="s">
        <v>263</v>
      </c>
      <c r="L745" t="s">
        <v>264</v>
      </c>
      <c r="M745" t="s">
        <v>265</v>
      </c>
      <c r="N745" t="s">
        <v>181</v>
      </c>
      <c r="O745" t="s">
        <v>266</v>
      </c>
      <c r="P745" t="s">
        <v>5</v>
      </c>
      <c r="Q745" t="s">
        <v>6</v>
      </c>
      <c r="R745" t="s">
        <v>360</v>
      </c>
      <c r="S745" t="s">
        <v>7</v>
      </c>
      <c r="T745" t="s">
        <v>331</v>
      </c>
      <c r="U745">
        <f>Sales_Order[[#This Row],[Quantity ordered]]*Sales_Order[[#This Row],[Price each]]</f>
        <v>2408.6999999999998</v>
      </c>
    </row>
    <row r="746" spans="1:21" x14ac:dyDescent="0.3">
      <c r="A746">
        <v>10276</v>
      </c>
      <c r="B746">
        <v>46</v>
      </c>
      <c r="C746">
        <v>75.489999999999995</v>
      </c>
      <c r="D746">
        <v>12</v>
      </c>
      <c r="E746" s="1">
        <v>38025</v>
      </c>
      <c r="F746" t="s">
        <v>0</v>
      </c>
      <c r="G746">
        <v>3</v>
      </c>
      <c r="H746">
        <v>2004</v>
      </c>
      <c r="I746" t="s">
        <v>1</v>
      </c>
      <c r="J746" t="s">
        <v>94</v>
      </c>
      <c r="K746" t="s">
        <v>279</v>
      </c>
      <c r="L746" t="s">
        <v>280</v>
      </c>
      <c r="M746" t="s">
        <v>235</v>
      </c>
      <c r="N746" t="s">
        <v>181</v>
      </c>
      <c r="O746" t="s">
        <v>236</v>
      </c>
      <c r="P746" t="s">
        <v>5</v>
      </c>
      <c r="Q746" t="s">
        <v>6</v>
      </c>
      <c r="R746" t="s">
        <v>365</v>
      </c>
      <c r="S746" t="s">
        <v>8</v>
      </c>
      <c r="T746" t="s">
        <v>322</v>
      </c>
      <c r="U746">
        <f>Sales_Order[[#This Row],[Quantity ordered]]*Sales_Order[[#This Row],[Price each]]</f>
        <v>3472.54</v>
      </c>
    </row>
    <row r="747" spans="1:21" x14ac:dyDescent="0.3">
      <c r="A747">
        <v>10285</v>
      </c>
      <c r="B747">
        <v>38</v>
      </c>
      <c r="C747">
        <v>59.56</v>
      </c>
      <c r="D747">
        <v>3</v>
      </c>
      <c r="E747" s="1">
        <v>38226</v>
      </c>
      <c r="F747" t="s">
        <v>0</v>
      </c>
      <c r="G747">
        <v>3</v>
      </c>
      <c r="H747">
        <v>2004</v>
      </c>
      <c r="I747" t="s">
        <v>1</v>
      </c>
      <c r="J747" t="s">
        <v>94</v>
      </c>
      <c r="K747" t="s">
        <v>178</v>
      </c>
      <c r="L747" t="s">
        <v>179</v>
      </c>
      <c r="M747" t="s">
        <v>180</v>
      </c>
      <c r="N747" t="s">
        <v>181</v>
      </c>
      <c r="O747" t="s">
        <v>182</v>
      </c>
      <c r="P747" t="s">
        <v>5</v>
      </c>
      <c r="Q747" t="s">
        <v>6</v>
      </c>
      <c r="R747" t="s">
        <v>332</v>
      </c>
      <c r="S747" t="s">
        <v>7</v>
      </c>
      <c r="T747" t="s">
        <v>322</v>
      </c>
      <c r="U747">
        <f>Sales_Order[[#This Row],[Quantity ordered]]*Sales_Order[[#This Row],[Price each]]</f>
        <v>2263.2800000000002</v>
      </c>
    </row>
    <row r="748" spans="1:21" x14ac:dyDescent="0.3">
      <c r="A748">
        <v>10319</v>
      </c>
      <c r="B748">
        <v>31</v>
      </c>
      <c r="C748">
        <v>81.73</v>
      </c>
      <c r="D748">
        <v>7</v>
      </c>
      <c r="E748" s="1">
        <v>38057</v>
      </c>
      <c r="F748" t="s">
        <v>0</v>
      </c>
      <c r="G748">
        <v>4</v>
      </c>
      <c r="H748">
        <v>2004</v>
      </c>
      <c r="I748" t="s">
        <v>1</v>
      </c>
      <c r="J748" t="s">
        <v>94</v>
      </c>
      <c r="K748" t="s">
        <v>41</v>
      </c>
      <c r="L748" t="s">
        <v>42</v>
      </c>
      <c r="M748" t="s">
        <v>3</v>
      </c>
      <c r="N748" t="s">
        <v>4</v>
      </c>
      <c r="O748" t="s">
        <v>135</v>
      </c>
      <c r="P748" t="s">
        <v>5</v>
      </c>
      <c r="Q748" t="s">
        <v>6</v>
      </c>
      <c r="R748" t="s">
        <v>367</v>
      </c>
      <c r="S748" t="s">
        <v>7</v>
      </c>
      <c r="T748" t="s">
        <v>334</v>
      </c>
      <c r="U748">
        <f>Sales_Order[[#This Row],[Quantity ordered]]*Sales_Order[[#This Row],[Price each]]</f>
        <v>2533.63</v>
      </c>
    </row>
    <row r="749" spans="1:21" x14ac:dyDescent="0.3">
      <c r="A749">
        <v>10390</v>
      </c>
      <c r="B749">
        <v>35</v>
      </c>
      <c r="C749">
        <v>65.13</v>
      </c>
      <c r="D749">
        <v>4</v>
      </c>
      <c r="E749" s="1">
        <v>38445</v>
      </c>
      <c r="F749" t="s">
        <v>0</v>
      </c>
      <c r="G749">
        <v>1</v>
      </c>
      <c r="H749">
        <v>2005</v>
      </c>
      <c r="I749" t="s">
        <v>1</v>
      </c>
      <c r="J749" t="s">
        <v>94</v>
      </c>
      <c r="K749" t="s">
        <v>225</v>
      </c>
      <c r="L749" t="s">
        <v>226</v>
      </c>
      <c r="M749" t="s">
        <v>227</v>
      </c>
      <c r="N749" t="s">
        <v>161</v>
      </c>
      <c r="O749" t="s">
        <v>177</v>
      </c>
      <c r="P749" t="s">
        <v>5</v>
      </c>
      <c r="Q749" t="s">
        <v>6</v>
      </c>
      <c r="R749" t="s">
        <v>349</v>
      </c>
      <c r="S749" t="s">
        <v>7</v>
      </c>
      <c r="T749" t="s">
        <v>338</v>
      </c>
      <c r="U749">
        <f>Sales_Order[[#This Row],[Quantity ordered]]*Sales_Order[[#This Row],[Price each]]</f>
        <v>2279.5499999999997</v>
      </c>
    </row>
    <row r="750" spans="1:21" x14ac:dyDescent="0.3">
      <c r="A750">
        <v>10124</v>
      </c>
      <c r="B750">
        <v>32</v>
      </c>
      <c r="C750">
        <v>72.7</v>
      </c>
      <c r="D750">
        <v>10</v>
      </c>
      <c r="E750" s="1">
        <v>37762</v>
      </c>
      <c r="F750" t="s">
        <v>0</v>
      </c>
      <c r="G750">
        <v>2</v>
      </c>
      <c r="H750">
        <v>2003</v>
      </c>
      <c r="I750" t="s">
        <v>22</v>
      </c>
      <c r="J750" t="s">
        <v>95</v>
      </c>
      <c r="K750" t="s">
        <v>290</v>
      </c>
      <c r="L750" t="s">
        <v>291</v>
      </c>
      <c r="M750" t="s">
        <v>292</v>
      </c>
      <c r="N750" t="s">
        <v>293</v>
      </c>
      <c r="O750" t="s">
        <v>294</v>
      </c>
      <c r="P750" t="s">
        <v>5</v>
      </c>
      <c r="Q750" t="s">
        <v>6</v>
      </c>
      <c r="R750" t="s">
        <v>370</v>
      </c>
      <c r="S750" t="s">
        <v>7</v>
      </c>
      <c r="T750" t="s">
        <v>329</v>
      </c>
      <c r="U750">
        <f>Sales_Order[[#This Row],[Quantity ordered]]*Sales_Order[[#This Row],[Price each]]</f>
        <v>2326.4</v>
      </c>
    </row>
    <row r="751" spans="1:21" x14ac:dyDescent="0.3">
      <c r="A751">
        <v>10148</v>
      </c>
      <c r="B751">
        <v>21</v>
      </c>
      <c r="C751">
        <v>73.599999999999994</v>
      </c>
      <c r="D751">
        <v>4</v>
      </c>
      <c r="E751" s="1">
        <v>37934</v>
      </c>
      <c r="F751" t="s">
        <v>0</v>
      </c>
      <c r="G751">
        <v>3</v>
      </c>
      <c r="H751">
        <v>2003</v>
      </c>
      <c r="I751" t="s">
        <v>22</v>
      </c>
      <c r="J751" t="s">
        <v>95</v>
      </c>
      <c r="K751" t="s">
        <v>26</v>
      </c>
      <c r="L751" t="s">
        <v>27</v>
      </c>
      <c r="M751" t="s">
        <v>28</v>
      </c>
      <c r="N751" t="s">
        <v>21</v>
      </c>
      <c r="O751" t="s">
        <v>137</v>
      </c>
      <c r="P751" t="s">
        <v>13</v>
      </c>
      <c r="Q751" t="s">
        <v>14</v>
      </c>
      <c r="R751" t="s">
        <v>352</v>
      </c>
      <c r="S751" t="s">
        <v>7</v>
      </c>
      <c r="T751" t="s">
        <v>361</v>
      </c>
      <c r="U751">
        <f>Sales_Order[[#This Row],[Quantity ordered]]*Sales_Order[[#This Row],[Price each]]</f>
        <v>1545.6</v>
      </c>
    </row>
    <row r="752" spans="1:21" x14ac:dyDescent="0.3">
      <c r="A752">
        <v>10172</v>
      </c>
      <c r="B752">
        <v>22</v>
      </c>
      <c r="C752">
        <v>74.510000000000005</v>
      </c>
      <c r="D752">
        <v>1</v>
      </c>
      <c r="E752" s="1">
        <v>37752</v>
      </c>
      <c r="F752" t="s">
        <v>0</v>
      </c>
      <c r="G752">
        <v>4</v>
      </c>
      <c r="H752">
        <v>2003</v>
      </c>
      <c r="I752" t="s">
        <v>22</v>
      </c>
      <c r="J752" t="s">
        <v>95</v>
      </c>
      <c r="K752" t="s">
        <v>173</v>
      </c>
      <c r="L752" t="s">
        <v>174</v>
      </c>
      <c r="M752" t="s">
        <v>175</v>
      </c>
      <c r="N752" t="s">
        <v>176</v>
      </c>
      <c r="O752" t="s">
        <v>177</v>
      </c>
      <c r="P752" t="s">
        <v>5</v>
      </c>
      <c r="Q752" t="s">
        <v>6</v>
      </c>
      <c r="R752" t="s">
        <v>330</v>
      </c>
      <c r="S752" t="s">
        <v>7</v>
      </c>
      <c r="T752" t="s">
        <v>334</v>
      </c>
      <c r="U752">
        <f>Sales_Order[[#This Row],[Quantity ordered]]*Sales_Order[[#This Row],[Price each]]</f>
        <v>1639.22</v>
      </c>
    </row>
    <row r="753" spans="1:21" x14ac:dyDescent="0.3">
      <c r="A753">
        <v>10182</v>
      </c>
      <c r="B753">
        <v>36</v>
      </c>
      <c r="C753">
        <v>73.599999999999994</v>
      </c>
      <c r="D753">
        <v>14</v>
      </c>
      <c r="E753" s="1">
        <v>37966</v>
      </c>
      <c r="F753" t="s">
        <v>0</v>
      </c>
      <c r="G753">
        <v>4</v>
      </c>
      <c r="H753">
        <v>2003</v>
      </c>
      <c r="I753" t="s">
        <v>22</v>
      </c>
      <c r="J753" t="s">
        <v>95</v>
      </c>
      <c r="K753" t="s">
        <v>225</v>
      </c>
      <c r="L753" t="s">
        <v>226</v>
      </c>
      <c r="M753" t="s">
        <v>227</v>
      </c>
      <c r="N753" t="s">
        <v>161</v>
      </c>
      <c r="O753" t="s">
        <v>177</v>
      </c>
      <c r="P753" t="s">
        <v>5</v>
      </c>
      <c r="Q753" t="s">
        <v>6</v>
      </c>
      <c r="R753" t="s">
        <v>349</v>
      </c>
      <c r="S753" t="s">
        <v>7</v>
      </c>
      <c r="T753" t="s">
        <v>334</v>
      </c>
      <c r="U753">
        <f>Sales_Order[[#This Row],[Quantity ordered]]*Sales_Order[[#This Row],[Price each]]</f>
        <v>2649.6</v>
      </c>
    </row>
    <row r="754" spans="1:21" x14ac:dyDescent="0.3">
      <c r="A754">
        <v>10192</v>
      </c>
      <c r="B754">
        <v>46</v>
      </c>
      <c r="C754">
        <v>83.6</v>
      </c>
      <c r="D754">
        <v>2</v>
      </c>
      <c r="E754" s="1">
        <v>37945</v>
      </c>
      <c r="F754" t="s">
        <v>0</v>
      </c>
      <c r="G754">
        <v>4</v>
      </c>
      <c r="H754">
        <v>2003</v>
      </c>
      <c r="I754" t="s">
        <v>22</v>
      </c>
      <c r="J754" t="s">
        <v>95</v>
      </c>
      <c r="K754" t="s">
        <v>228</v>
      </c>
      <c r="L754" t="s">
        <v>229</v>
      </c>
      <c r="M754" t="s">
        <v>230</v>
      </c>
      <c r="N754" t="s">
        <v>231</v>
      </c>
      <c r="O754" t="s">
        <v>232</v>
      </c>
      <c r="P754" t="s">
        <v>5</v>
      </c>
      <c r="Q754" t="s">
        <v>6</v>
      </c>
      <c r="R754" t="s">
        <v>350</v>
      </c>
      <c r="S754" t="s">
        <v>8</v>
      </c>
      <c r="T754" t="s">
        <v>334</v>
      </c>
      <c r="U754">
        <f>Sales_Order[[#This Row],[Quantity ordered]]*Sales_Order[[#This Row],[Price each]]</f>
        <v>3845.6</v>
      </c>
    </row>
    <row r="755" spans="1:21" x14ac:dyDescent="0.3">
      <c r="A755">
        <v>10204</v>
      </c>
      <c r="B755">
        <v>47</v>
      </c>
      <c r="C755">
        <v>96.32</v>
      </c>
      <c r="D755">
        <v>8</v>
      </c>
      <c r="E755" s="1">
        <v>37664</v>
      </c>
      <c r="F755" t="s">
        <v>0</v>
      </c>
      <c r="G755">
        <v>4</v>
      </c>
      <c r="H755">
        <v>2003</v>
      </c>
      <c r="I755" t="s">
        <v>22</v>
      </c>
      <c r="J755" t="s">
        <v>95</v>
      </c>
      <c r="K755" t="s">
        <v>36</v>
      </c>
      <c r="L755" t="s">
        <v>37</v>
      </c>
      <c r="M755" t="s">
        <v>3</v>
      </c>
      <c r="N755" t="s">
        <v>4</v>
      </c>
      <c r="O755" t="s">
        <v>135</v>
      </c>
      <c r="P755" t="s">
        <v>5</v>
      </c>
      <c r="Q755" t="s">
        <v>6</v>
      </c>
      <c r="R755" t="s">
        <v>366</v>
      </c>
      <c r="S755" t="s">
        <v>8</v>
      </c>
      <c r="T755" t="s">
        <v>336</v>
      </c>
      <c r="U755">
        <f>Sales_Order[[#This Row],[Quantity ordered]]*Sales_Order[[#This Row],[Price each]]</f>
        <v>4527.04</v>
      </c>
    </row>
    <row r="756" spans="1:21" x14ac:dyDescent="0.3">
      <c r="A756">
        <v>10267</v>
      </c>
      <c r="B756">
        <v>38</v>
      </c>
      <c r="C756">
        <v>87.24</v>
      </c>
      <c r="D756">
        <v>3</v>
      </c>
      <c r="E756" s="1">
        <v>38175</v>
      </c>
      <c r="F756" t="s">
        <v>0</v>
      </c>
      <c r="G756">
        <v>3</v>
      </c>
      <c r="H756">
        <v>2004</v>
      </c>
      <c r="I756" t="s">
        <v>22</v>
      </c>
      <c r="J756" t="s">
        <v>95</v>
      </c>
      <c r="K756" t="s">
        <v>36</v>
      </c>
      <c r="L756" t="s">
        <v>37</v>
      </c>
      <c r="M756" t="s">
        <v>3</v>
      </c>
      <c r="N756" t="s">
        <v>4</v>
      </c>
      <c r="O756" t="s">
        <v>135</v>
      </c>
      <c r="P756" t="s">
        <v>5</v>
      </c>
      <c r="Q756" t="s">
        <v>6</v>
      </c>
      <c r="R756" t="s">
        <v>366</v>
      </c>
      <c r="S756" t="s">
        <v>8</v>
      </c>
      <c r="T756" t="s">
        <v>339</v>
      </c>
      <c r="U756">
        <f>Sales_Order[[#This Row],[Quantity ordered]]*Sales_Order[[#This Row],[Price each]]</f>
        <v>3315.12</v>
      </c>
    </row>
    <row r="757" spans="1:21" x14ac:dyDescent="0.3">
      <c r="A757">
        <v>10321</v>
      </c>
      <c r="B757">
        <v>30</v>
      </c>
      <c r="C757">
        <v>72.7</v>
      </c>
      <c r="D757">
        <v>1</v>
      </c>
      <c r="E757" s="1">
        <v>38088</v>
      </c>
      <c r="F757" t="s">
        <v>0</v>
      </c>
      <c r="G757">
        <v>4</v>
      </c>
      <c r="H757">
        <v>2004</v>
      </c>
      <c r="I757" t="s">
        <v>22</v>
      </c>
      <c r="J757" t="s">
        <v>95</v>
      </c>
      <c r="K757" t="s">
        <v>189</v>
      </c>
      <c r="L757" t="s">
        <v>190</v>
      </c>
      <c r="M757" t="s">
        <v>191</v>
      </c>
      <c r="N757" t="s">
        <v>181</v>
      </c>
      <c r="O757" t="s">
        <v>192</v>
      </c>
      <c r="P757" t="s">
        <v>5</v>
      </c>
      <c r="Q757" t="s">
        <v>6</v>
      </c>
      <c r="R757" t="s">
        <v>337</v>
      </c>
      <c r="S757" t="s">
        <v>7</v>
      </c>
      <c r="T757" t="s">
        <v>334</v>
      </c>
      <c r="U757">
        <f>Sales_Order[[#This Row],[Quantity ordered]]*Sales_Order[[#This Row],[Price each]]</f>
        <v>2181</v>
      </c>
    </row>
    <row r="758" spans="1:21" x14ac:dyDescent="0.3">
      <c r="A758">
        <v>10346</v>
      </c>
      <c r="B758">
        <v>25</v>
      </c>
      <c r="C758">
        <v>100</v>
      </c>
      <c r="D758">
        <v>1</v>
      </c>
      <c r="E758" s="1">
        <v>38320</v>
      </c>
      <c r="F758" t="s">
        <v>0</v>
      </c>
      <c r="G758">
        <v>4</v>
      </c>
      <c r="H758">
        <v>2004</v>
      </c>
      <c r="I758" t="s">
        <v>22</v>
      </c>
      <c r="J758" t="s">
        <v>95</v>
      </c>
      <c r="K758" t="s">
        <v>290</v>
      </c>
      <c r="L758" t="s">
        <v>291</v>
      </c>
      <c r="M758" t="s">
        <v>292</v>
      </c>
      <c r="N758" t="s">
        <v>293</v>
      </c>
      <c r="O758" t="s">
        <v>294</v>
      </c>
      <c r="P758" t="s">
        <v>5</v>
      </c>
      <c r="Q758" t="s">
        <v>6</v>
      </c>
      <c r="R758" t="s">
        <v>370</v>
      </c>
      <c r="S758" t="s">
        <v>7</v>
      </c>
      <c r="T758" t="s">
        <v>334</v>
      </c>
      <c r="U758">
        <f>Sales_Order[[#This Row],[Quantity ordered]]*Sales_Order[[#This Row],[Price each]]</f>
        <v>2500</v>
      </c>
    </row>
    <row r="759" spans="1:21" x14ac:dyDescent="0.3">
      <c r="A759">
        <v>10368</v>
      </c>
      <c r="B759">
        <v>40</v>
      </c>
      <c r="C759">
        <v>100</v>
      </c>
      <c r="D759">
        <v>2</v>
      </c>
      <c r="E759" s="1">
        <v>38371</v>
      </c>
      <c r="F759" t="s">
        <v>0</v>
      </c>
      <c r="G759">
        <v>1</v>
      </c>
      <c r="H759">
        <v>2005</v>
      </c>
      <c r="I759" t="s">
        <v>22</v>
      </c>
      <c r="J759" t="s">
        <v>95</v>
      </c>
      <c r="K759" t="s">
        <v>225</v>
      </c>
      <c r="L759" t="s">
        <v>226</v>
      </c>
      <c r="M759" t="s">
        <v>227</v>
      </c>
      <c r="N759" t="s">
        <v>161</v>
      </c>
      <c r="O759" t="s">
        <v>177</v>
      </c>
      <c r="P759" t="s">
        <v>5</v>
      </c>
      <c r="Q759" t="s">
        <v>6</v>
      </c>
      <c r="R759" t="s">
        <v>349</v>
      </c>
      <c r="S759" t="s">
        <v>8</v>
      </c>
      <c r="T759" t="s">
        <v>345</v>
      </c>
      <c r="U759">
        <f>Sales_Order[[#This Row],[Quantity ordered]]*Sales_Order[[#This Row],[Price each]]</f>
        <v>4000</v>
      </c>
    </row>
    <row r="760" spans="1:21" x14ac:dyDescent="0.3">
      <c r="A760">
        <v>10407</v>
      </c>
      <c r="B760">
        <v>76</v>
      </c>
      <c r="C760">
        <v>94.5</v>
      </c>
      <c r="D760">
        <v>6</v>
      </c>
      <c r="E760" s="1">
        <v>38464</v>
      </c>
      <c r="F760" t="s">
        <v>275</v>
      </c>
      <c r="G760">
        <v>2</v>
      </c>
      <c r="H760">
        <v>2005</v>
      </c>
      <c r="I760" t="s">
        <v>22</v>
      </c>
      <c r="J760" t="s">
        <v>95</v>
      </c>
      <c r="K760" t="s">
        <v>272</v>
      </c>
      <c r="L760" t="s">
        <v>273</v>
      </c>
      <c r="M760" t="s">
        <v>274</v>
      </c>
      <c r="N760" t="s">
        <v>161</v>
      </c>
      <c r="O760" t="s">
        <v>166</v>
      </c>
      <c r="P760" t="s">
        <v>5</v>
      </c>
      <c r="Q760" t="s">
        <v>6</v>
      </c>
      <c r="R760" t="s">
        <v>363</v>
      </c>
      <c r="S760" t="s">
        <v>17</v>
      </c>
      <c r="T760" t="s">
        <v>327</v>
      </c>
      <c r="U760">
        <f>Sales_Order[[#This Row],[Quantity ordered]]*Sales_Order[[#This Row],[Price each]]</f>
        <v>7182</v>
      </c>
    </row>
    <row r="761" spans="1:21" x14ac:dyDescent="0.3">
      <c r="A761">
        <v>10420</v>
      </c>
      <c r="B761">
        <v>39</v>
      </c>
      <c r="C761">
        <v>100</v>
      </c>
      <c r="D761">
        <v>9</v>
      </c>
      <c r="E761" s="1">
        <v>38501</v>
      </c>
      <c r="F761" t="s">
        <v>29</v>
      </c>
      <c r="G761">
        <v>2</v>
      </c>
      <c r="H761">
        <v>2005</v>
      </c>
      <c r="I761" t="s">
        <v>22</v>
      </c>
      <c r="J761" t="s">
        <v>95</v>
      </c>
      <c r="K761" t="s">
        <v>18</v>
      </c>
      <c r="L761" t="s">
        <v>19</v>
      </c>
      <c r="M761" t="s">
        <v>20</v>
      </c>
      <c r="N761" t="s">
        <v>21</v>
      </c>
      <c r="O761" t="s">
        <v>136</v>
      </c>
      <c r="P761" t="s">
        <v>13</v>
      </c>
      <c r="Q761" t="s">
        <v>14</v>
      </c>
      <c r="R761" t="s">
        <v>335</v>
      </c>
      <c r="S761" t="s">
        <v>8</v>
      </c>
      <c r="T761" t="s">
        <v>329</v>
      </c>
      <c r="U761">
        <f>Sales_Order[[#This Row],[Quantity ordered]]*Sales_Order[[#This Row],[Price each]]</f>
        <v>3900</v>
      </c>
    </row>
    <row r="762" spans="1:21" x14ac:dyDescent="0.3">
      <c r="A762">
        <v>10127</v>
      </c>
      <c r="B762">
        <v>39</v>
      </c>
      <c r="C762">
        <v>38.19</v>
      </c>
      <c r="D762">
        <v>12</v>
      </c>
      <c r="E762" s="1">
        <v>37686</v>
      </c>
      <c r="F762" t="s">
        <v>0</v>
      </c>
      <c r="G762">
        <v>2</v>
      </c>
      <c r="H762">
        <v>2003</v>
      </c>
      <c r="I762" t="s">
        <v>22</v>
      </c>
      <c r="J762" t="s">
        <v>96</v>
      </c>
      <c r="K762" t="s">
        <v>36</v>
      </c>
      <c r="L762" t="s">
        <v>37</v>
      </c>
      <c r="M762" t="s">
        <v>3</v>
      </c>
      <c r="N762" t="s">
        <v>4</v>
      </c>
      <c r="O762" t="s">
        <v>135</v>
      </c>
      <c r="P762" t="s">
        <v>5</v>
      </c>
      <c r="Q762" t="s">
        <v>6</v>
      </c>
      <c r="R762" t="s">
        <v>366</v>
      </c>
      <c r="S762" t="s">
        <v>7</v>
      </c>
      <c r="T762" t="s">
        <v>331</v>
      </c>
      <c r="U762">
        <f>Sales_Order[[#This Row],[Quantity ordered]]*Sales_Order[[#This Row],[Price each]]</f>
        <v>1489.4099999999999</v>
      </c>
    </row>
    <row r="763" spans="1:21" x14ac:dyDescent="0.3">
      <c r="A763">
        <v>10195</v>
      </c>
      <c r="B763">
        <v>32</v>
      </c>
      <c r="C763">
        <v>28.29</v>
      </c>
      <c r="D763">
        <v>7</v>
      </c>
      <c r="E763" s="1">
        <v>37950</v>
      </c>
      <c r="F763" t="s">
        <v>0</v>
      </c>
      <c r="G763">
        <v>4</v>
      </c>
      <c r="H763">
        <v>2003</v>
      </c>
      <c r="I763" t="s">
        <v>22</v>
      </c>
      <c r="J763" t="s">
        <v>96</v>
      </c>
      <c r="K763" t="s">
        <v>248</v>
      </c>
      <c r="L763" t="s">
        <v>249</v>
      </c>
      <c r="M763" t="s">
        <v>250</v>
      </c>
      <c r="N763" t="s">
        <v>4</v>
      </c>
      <c r="O763" t="s">
        <v>251</v>
      </c>
      <c r="P763" t="s">
        <v>5</v>
      </c>
      <c r="Q763" t="s">
        <v>6</v>
      </c>
      <c r="R763" t="s">
        <v>356</v>
      </c>
      <c r="S763" t="s">
        <v>7</v>
      </c>
      <c r="T763" t="s">
        <v>334</v>
      </c>
      <c r="U763">
        <f>Sales_Order[[#This Row],[Quantity ordered]]*Sales_Order[[#This Row],[Price each]]</f>
        <v>905.28</v>
      </c>
    </row>
    <row r="764" spans="1:21" x14ac:dyDescent="0.3">
      <c r="A764">
        <v>10207</v>
      </c>
      <c r="B764">
        <v>42</v>
      </c>
      <c r="C764">
        <v>29.7</v>
      </c>
      <c r="D764">
        <v>8</v>
      </c>
      <c r="E764" s="1">
        <v>37876</v>
      </c>
      <c r="F764" t="s">
        <v>0</v>
      </c>
      <c r="G764">
        <v>4</v>
      </c>
      <c r="H764">
        <v>2003</v>
      </c>
      <c r="I764" t="s">
        <v>22</v>
      </c>
      <c r="J764" t="s">
        <v>96</v>
      </c>
      <c r="K764" t="s">
        <v>277</v>
      </c>
      <c r="L764" t="s">
        <v>278</v>
      </c>
      <c r="M764" t="s">
        <v>265</v>
      </c>
      <c r="N764" t="s">
        <v>181</v>
      </c>
      <c r="O764" t="s">
        <v>266</v>
      </c>
      <c r="P764" t="s">
        <v>5</v>
      </c>
      <c r="Q764" t="s">
        <v>6</v>
      </c>
      <c r="R764" t="s">
        <v>364</v>
      </c>
      <c r="S764" t="s">
        <v>7</v>
      </c>
      <c r="T764" t="s">
        <v>336</v>
      </c>
      <c r="U764">
        <f>Sales_Order[[#This Row],[Quantity ordered]]*Sales_Order[[#This Row],[Price each]]</f>
        <v>1247.3999999999999</v>
      </c>
    </row>
    <row r="765" spans="1:21" x14ac:dyDescent="0.3">
      <c r="A765">
        <v>10219</v>
      </c>
      <c r="B765">
        <v>21</v>
      </c>
      <c r="C765">
        <v>40.31</v>
      </c>
      <c r="D765">
        <v>3</v>
      </c>
      <c r="E765" s="1">
        <v>38262</v>
      </c>
      <c r="F765" t="s">
        <v>0</v>
      </c>
      <c r="G765">
        <v>1</v>
      </c>
      <c r="H765">
        <v>2004</v>
      </c>
      <c r="I765" t="s">
        <v>22</v>
      </c>
      <c r="J765" t="s">
        <v>96</v>
      </c>
      <c r="K765" t="s">
        <v>286</v>
      </c>
      <c r="L765" t="s">
        <v>287</v>
      </c>
      <c r="M765" t="s">
        <v>288</v>
      </c>
      <c r="N765" t="s">
        <v>161</v>
      </c>
      <c r="O765" t="s">
        <v>166</v>
      </c>
      <c r="P765" t="s">
        <v>5</v>
      </c>
      <c r="Q765" t="s">
        <v>6</v>
      </c>
      <c r="R765" t="s">
        <v>369</v>
      </c>
      <c r="S765" t="s">
        <v>7</v>
      </c>
      <c r="T765" t="s">
        <v>320</v>
      </c>
      <c r="U765">
        <f>Sales_Order[[#This Row],[Quantity ordered]]*Sales_Order[[#This Row],[Price each]]</f>
        <v>846.51</v>
      </c>
    </row>
    <row r="766" spans="1:21" x14ac:dyDescent="0.3">
      <c r="A766">
        <v>10229</v>
      </c>
      <c r="B766">
        <v>33</v>
      </c>
      <c r="C766">
        <v>32.880000000000003</v>
      </c>
      <c r="D766">
        <v>2</v>
      </c>
      <c r="E766" s="1">
        <v>38294</v>
      </c>
      <c r="F766" t="s">
        <v>0</v>
      </c>
      <c r="G766">
        <v>1</v>
      </c>
      <c r="H766">
        <v>2004</v>
      </c>
      <c r="I766" t="s">
        <v>22</v>
      </c>
      <c r="J766" t="s">
        <v>96</v>
      </c>
      <c r="K766" t="s">
        <v>225</v>
      </c>
      <c r="L766" t="s">
        <v>226</v>
      </c>
      <c r="M766" t="s">
        <v>227</v>
      </c>
      <c r="N766" t="s">
        <v>161</v>
      </c>
      <c r="O766" t="s">
        <v>177</v>
      </c>
      <c r="P766" t="s">
        <v>5</v>
      </c>
      <c r="Q766" t="s">
        <v>6</v>
      </c>
      <c r="R766" t="s">
        <v>349</v>
      </c>
      <c r="S766" t="s">
        <v>7</v>
      </c>
      <c r="T766" t="s">
        <v>338</v>
      </c>
      <c r="U766">
        <f>Sales_Order[[#This Row],[Quantity ordered]]*Sales_Order[[#This Row],[Price each]]</f>
        <v>1085.0400000000002</v>
      </c>
    </row>
    <row r="767" spans="1:21" x14ac:dyDescent="0.3">
      <c r="A767">
        <v>10271</v>
      </c>
      <c r="B767">
        <v>38</v>
      </c>
      <c r="C767">
        <v>41.72</v>
      </c>
      <c r="D767">
        <v>6</v>
      </c>
      <c r="E767" s="1">
        <v>38188</v>
      </c>
      <c r="F767" t="s">
        <v>0</v>
      </c>
      <c r="G767">
        <v>3</v>
      </c>
      <c r="H767">
        <v>2004</v>
      </c>
      <c r="I767" t="s">
        <v>22</v>
      </c>
      <c r="J767" t="s">
        <v>96</v>
      </c>
      <c r="K767" t="s">
        <v>225</v>
      </c>
      <c r="L767" t="s">
        <v>226</v>
      </c>
      <c r="M767" t="s">
        <v>227</v>
      </c>
      <c r="N767" t="s">
        <v>161</v>
      </c>
      <c r="O767" t="s">
        <v>177</v>
      </c>
      <c r="P767" t="s">
        <v>5</v>
      </c>
      <c r="Q767" t="s">
        <v>6</v>
      </c>
      <c r="R767" t="s">
        <v>349</v>
      </c>
      <c r="S767" t="s">
        <v>7</v>
      </c>
      <c r="T767" t="s">
        <v>339</v>
      </c>
      <c r="U767">
        <f>Sales_Order[[#This Row],[Quantity ordered]]*Sales_Order[[#This Row],[Price each]]</f>
        <v>1585.36</v>
      </c>
    </row>
    <row r="768" spans="1:21" x14ac:dyDescent="0.3">
      <c r="A768">
        <v>10281</v>
      </c>
      <c r="B768">
        <v>20</v>
      </c>
      <c r="C768">
        <v>40.659999999999997</v>
      </c>
      <c r="D768">
        <v>2</v>
      </c>
      <c r="E768" s="1">
        <v>38218</v>
      </c>
      <c r="F768" t="s">
        <v>0</v>
      </c>
      <c r="G768">
        <v>3</v>
      </c>
      <c r="H768">
        <v>2004</v>
      </c>
      <c r="I768" t="s">
        <v>22</v>
      </c>
      <c r="J768" t="s">
        <v>96</v>
      </c>
      <c r="K768" t="s">
        <v>183</v>
      </c>
      <c r="L768" t="s">
        <v>184</v>
      </c>
      <c r="M768" t="s">
        <v>185</v>
      </c>
      <c r="N768" t="s">
        <v>186</v>
      </c>
      <c r="O768" t="s">
        <v>187</v>
      </c>
      <c r="P768" t="s">
        <v>5</v>
      </c>
      <c r="Q768" t="s">
        <v>6</v>
      </c>
      <c r="R768" t="s">
        <v>333</v>
      </c>
      <c r="S768" t="s">
        <v>7</v>
      </c>
      <c r="T768" t="s">
        <v>322</v>
      </c>
      <c r="U768">
        <f>Sales_Order[[#This Row],[Quantity ordered]]*Sales_Order[[#This Row],[Price each]]</f>
        <v>813.19999999999993</v>
      </c>
    </row>
    <row r="769" spans="1:21" x14ac:dyDescent="0.3">
      <c r="A769">
        <v>10292</v>
      </c>
      <c r="B769">
        <v>39</v>
      </c>
      <c r="C769">
        <v>30.06</v>
      </c>
      <c r="D769">
        <v>9</v>
      </c>
      <c r="E769" s="1">
        <v>38208</v>
      </c>
      <c r="F769" t="s">
        <v>0</v>
      </c>
      <c r="G769">
        <v>3</v>
      </c>
      <c r="H769">
        <v>2004</v>
      </c>
      <c r="I769" t="s">
        <v>22</v>
      </c>
      <c r="J769" t="s">
        <v>96</v>
      </c>
      <c r="K769" t="s">
        <v>155</v>
      </c>
      <c r="L769" t="s">
        <v>156</v>
      </c>
      <c r="M769" t="s">
        <v>3</v>
      </c>
      <c r="N769" t="s">
        <v>4</v>
      </c>
      <c r="O769" t="s">
        <v>135</v>
      </c>
      <c r="P769" t="s">
        <v>5</v>
      </c>
      <c r="Q769" t="s">
        <v>6</v>
      </c>
      <c r="R769" t="s">
        <v>319</v>
      </c>
      <c r="S769" t="s">
        <v>7</v>
      </c>
      <c r="T769" t="s">
        <v>361</v>
      </c>
      <c r="U769">
        <f>Sales_Order[[#This Row],[Quantity ordered]]*Sales_Order[[#This Row],[Price each]]</f>
        <v>1172.3399999999999</v>
      </c>
    </row>
    <row r="770" spans="1:21" x14ac:dyDescent="0.3">
      <c r="A770">
        <v>10305</v>
      </c>
      <c r="B770">
        <v>48</v>
      </c>
      <c r="C770">
        <v>31.47</v>
      </c>
      <c r="D770">
        <v>6</v>
      </c>
      <c r="E770" s="1">
        <v>38273</v>
      </c>
      <c r="F770" t="s">
        <v>0</v>
      </c>
      <c r="G770">
        <v>4</v>
      </c>
      <c r="H770">
        <v>2004</v>
      </c>
      <c r="I770" t="s">
        <v>22</v>
      </c>
      <c r="J770" t="s">
        <v>96</v>
      </c>
      <c r="K770" t="s">
        <v>178</v>
      </c>
      <c r="L770" t="s">
        <v>179</v>
      </c>
      <c r="M770" t="s">
        <v>180</v>
      </c>
      <c r="N770" t="s">
        <v>181</v>
      </c>
      <c r="O770" t="s">
        <v>182</v>
      </c>
      <c r="P770" t="s">
        <v>5</v>
      </c>
      <c r="Q770" t="s">
        <v>6</v>
      </c>
      <c r="R770" t="s">
        <v>332</v>
      </c>
      <c r="S770" t="s">
        <v>7</v>
      </c>
      <c r="T770" t="s">
        <v>324</v>
      </c>
      <c r="U770">
        <f>Sales_Order[[#This Row],[Quantity ordered]]*Sales_Order[[#This Row],[Price each]]</f>
        <v>1510.56</v>
      </c>
    </row>
    <row r="771" spans="1:21" x14ac:dyDescent="0.3">
      <c r="A771">
        <v>10324</v>
      </c>
      <c r="B771">
        <v>30</v>
      </c>
      <c r="C771">
        <v>100</v>
      </c>
      <c r="D771">
        <v>9</v>
      </c>
      <c r="E771" s="1">
        <v>38118</v>
      </c>
      <c r="F771" t="s">
        <v>0</v>
      </c>
      <c r="G771">
        <v>4</v>
      </c>
      <c r="H771">
        <v>2004</v>
      </c>
      <c r="I771" t="s">
        <v>22</v>
      </c>
      <c r="J771" t="s">
        <v>96</v>
      </c>
      <c r="K771" t="s">
        <v>15</v>
      </c>
      <c r="L771" t="s">
        <v>16</v>
      </c>
      <c r="M771" t="s">
        <v>3</v>
      </c>
      <c r="N771" t="s">
        <v>4</v>
      </c>
      <c r="O771" t="s">
        <v>135</v>
      </c>
      <c r="P771" t="s">
        <v>5</v>
      </c>
      <c r="Q771" t="s">
        <v>6</v>
      </c>
      <c r="R771" t="s">
        <v>326</v>
      </c>
      <c r="S771" t="s">
        <v>8</v>
      </c>
      <c r="T771" t="s">
        <v>334</v>
      </c>
      <c r="U771">
        <f>Sales_Order[[#This Row],[Quantity ordered]]*Sales_Order[[#This Row],[Price each]]</f>
        <v>3000</v>
      </c>
    </row>
    <row r="772" spans="1:21" x14ac:dyDescent="0.3">
      <c r="A772">
        <v>10335</v>
      </c>
      <c r="B772">
        <v>33</v>
      </c>
      <c r="C772">
        <v>37.130000000000003</v>
      </c>
      <c r="D772">
        <v>2</v>
      </c>
      <c r="E772" s="1">
        <v>38310</v>
      </c>
      <c r="F772" t="s">
        <v>0</v>
      </c>
      <c r="G772">
        <v>4</v>
      </c>
      <c r="H772">
        <v>2004</v>
      </c>
      <c r="I772" t="s">
        <v>22</v>
      </c>
      <c r="J772" t="s">
        <v>96</v>
      </c>
      <c r="K772" t="s">
        <v>225</v>
      </c>
      <c r="L772" t="s">
        <v>226</v>
      </c>
      <c r="M772" t="s">
        <v>227</v>
      </c>
      <c r="N772" t="s">
        <v>161</v>
      </c>
      <c r="O772" t="s">
        <v>177</v>
      </c>
      <c r="P772" t="s">
        <v>5</v>
      </c>
      <c r="Q772" t="s">
        <v>6</v>
      </c>
      <c r="R772" t="s">
        <v>349</v>
      </c>
      <c r="S772" t="s">
        <v>7</v>
      </c>
      <c r="T772" t="s">
        <v>334</v>
      </c>
      <c r="U772">
        <f>Sales_Order[[#This Row],[Quantity ordered]]*Sales_Order[[#This Row],[Price each]]</f>
        <v>1225.2900000000002</v>
      </c>
    </row>
    <row r="773" spans="1:21" x14ac:dyDescent="0.3">
      <c r="A773">
        <v>10349</v>
      </c>
      <c r="B773">
        <v>36</v>
      </c>
      <c r="C773">
        <v>37.130000000000003</v>
      </c>
      <c r="D773">
        <v>3</v>
      </c>
      <c r="E773" s="1">
        <v>37998</v>
      </c>
      <c r="F773" t="s">
        <v>0</v>
      </c>
      <c r="G773">
        <v>4</v>
      </c>
      <c r="H773">
        <v>2004</v>
      </c>
      <c r="I773" t="s">
        <v>22</v>
      </c>
      <c r="J773" t="s">
        <v>96</v>
      </c>
      <c r="K773" t="s">
        <v>36</v>
      </c>
      <c r="L773" t="s">
        <v>37</v>
      </c>
      <c r="M773" t="s">
        <v>3</v>
      </c>
      <c r="N773" t="s">
        <v>4</v>
      </c>
      <c r="O773" t="s">
        <v>135</v>
      </c>
      <c r="P773" t="s">
        <v>5</v>
      </c>
      <c r="Q773" t="s">
        <v>6</v>
      </c>
      <c r="R773" t="s">
        <v>366</v>
      </c>
      <c r="S773" t="s">
        <v>7</v>
      </c>
      <c r="T773" t="s">
        <v>336</v>
      </c>
      <c r="U773">
        <f>Sales_Order[[#This Row],[Quantity ordered]]*Sales_Order[[#This Row],[Price each]]</f>
        <v>1336.68</v>
      </c>
    </row>
    <row r="774" spans="1:21" x14ac:dyDescent="0.3">
      <c r="A774">
        <v>10371</v>
      </c>
      <c r="B774">
        <v>45</v>
      </c>
      <c r="C774">
        <v>100</v>
      </c>
      <c r="D774">
        <v>8</v>
      </c>
      <c r="E774" s="1">
        <v>38375</v>
      </c>
      <c r="F774" t="s">
        <v>0</v>
      </c>
      <c r="G774">
        <v>1</v>
      </c>
      <c r="H774">
        <v>2005</v>
      </c>
      <c r="I774" t="s">
        <v>22</v>
      </c>
      <c r="J774" t="s">
        <v>96</v>
      </c>
      <c r="K774" t="s">
        <v>225</v>
      </c>
      <c r="L774" t="s">
        <v>226</v>
      </c>
      <c r="M774" t="s">
        <v>227</v>
      </c>
      <c r="N774" t="s">
        <v>161</v>
      </c>
      <c r="O774" t="s">
        <v>177</v>
      </c>
      <c r="P774" t="s">
        <v>5</v>
      </c>
      <c r="Q774" t="s">
        <v>6</v>
      </c>
      <c r="R774" t="s">
        <v>349</v>
      </c>
      <c r="S774" t="s">
        <v>8</v>
      </c>
      <c r="T774" t="s">
        <v>345</v>
      </c>
      <c r="U774">
        <f>Sales_Order[[#This Row],[Quantity ordered]]*Sales_Order[[#This Row],[Price each]]</f>
        <v>4500</v>
      </c>
    </row>
    <row r="775" spans="1:21" x14ac:dyDescent="0.3">
      <c r="A775">
        <v>10131</v>
      </c>
      <c r="B775">
        <v>35</v>
      </c>
      <c r="C775">
        <v>67.14</v>
      </c>
      <c r="D775">
        <v>5</v>
      </c>
      <c r="E775" s="1">
        <v>37788</v>
      </c>
      <c r="F775" t="s">
        <v>0</v>
      </c>
      <c r="G775">
        <v>2</v>
      </c>
      <c r="H775">
        <v>2003</v>
      </c>
      <c r="I775" t="s">
        <v>53</v>
      </c>
      <c r="J775" t="s">
        <v>310</v>
      </c>
      <c r="K775" t="s">
        <v>301</v>
      </c>
      <c r="L775" t="s">
        <v>302</v>
      </c>
      <c r="M775" t="s">
        <v>284</v>
      </c>
      <c r="N775" t="s">
        <v>176</v>
      </c>
      <c r="O775" t="s">
        <v>303</v>
      </c>
      <c r="P775" t="s">
        <v>5</v>
      </c>
      <c r="Q775" t="s">
        <v>6</v>
      </c>
      <c r="R775" t="s">
        <v>372</v>
      </c>
      <c r="S775" t="s">
        <v>7</v>
      </c>
      <c r="T775" t="s">
        <v>331</v>
      </c>
      <c r="U775">
        <f>Sales_Order[[#This Row],[Quantity ordered]]*Sales_Order[[#This Row],[Price each]]</f>
        <v>2349.9</v>
      </c>
    </row>
    <row r="776" spans="1:21" x14ac:dyDescent="0.3">
      <c r="A776">
        <v>10143</v>
      </c>
      <c r="B776">
        <v>27</v>
      </c>
      <c r="C776">
        <v>60.97</v>
      </c>
      <c r="D776">
        <v>8</v>
      </c>
      <c r="E776" s="1">
        <v>37902</v>
      </c>
      <c r="F776" t="s">
        <v>0</v>
      </c>
      <c r="G776">
        <v>3</v>
      </c>
      <c r="H776">
        <v>2003</v>
      </c>
      <c r="I776" t="s">
        <v>53</v>
      </c>
      <c r="J776" t="s">
        <v>310</v>
      </c>
      <c r="K776" t="s">
        <v>252</v>
      </c>
      <c r="L776" t="s">
        <v>253</v>
      </c>
      <c r="M776" t="s">
        <v>191</v>
      </c>
      <c r="N776" t="s">
        <v>181</v>
      </c>
      <c r="O776" t="s">
        <v>192</v>
      </c>
      <c r="P776" t="s">
        <v>5</v>
      </c>
      <c r="Q776" t="s">
        <v>6</v>
      </c>
      <c r="R776" t="s">
        <v>357</v>
      </c>
      <c r="S776" t="s">
        <v>7</v>
      </c>
      <c r="T776" t="s">
        <v>322</v>
      </c>
      <c r="U776">
        <f>Sales_Order[[#This Row],[Quantity ordered]]*Sales_Order[[#This Row],[Price each]]</f>
        <v>1646.19</v>
      </c>
    </row>
    <row r="777" spans="1:21" x14ac:dyDescent="0.3">
      <c r="A777">
        <v>10222</v>
      </c>
      <c r="B777">
        <v>32</v>
      </c>
      <c r="C777">
        <v>81.53</v>
      </c>
      <c r="D777">
        <v>5</v>
      </c>
      <c r="E777" s="1">
        <v>38036</v>
      </c>
      <c r="F777" t="s">
        <v>0</v>
      </c>
      <c r="G777">
        <v>1</v>
      </c>
      <c r="H777">
        <v>2004</v>
      </c>
      <c r="I777" t="s">
        <v>53</v>
      </c>
      <c r="J777" t="s">
        <v>310</v>
      </c>
      <c r="K777" t="s">
        <v>255</v>
      </c>
      <c r="L777" t="s">
        <v>256</v>
      </c>
      <c r="M777" t="s">
        <v>257</v>
      </c>
      <c r="N777" t="s">
        <v>161</v>
      </c>
      <c r="O777" t="s">
        <v>258</v>
      </c>
      <c r="P777" t="s">
        <v>5</v>
      </c>
      <c r="Q777" t="s">
        <v>6</v>
      </c>
      <c r="R777" t="s">
        <v>358</v>
      </c>
      <c r="S777" t="s">
        <v>7</v>
      </c>
      <c r="T777" t="s">
        <v>320</v>
      </c>
      <c r="U777">
        <f>Sales_Order[[#This Row],[Quantity ordered]]*Sales_Order[[#This Row],[Price each]]</f>
        <v>2608.96</v>
      </c>
    </row>
    <row r="778" spans="1:21" x14ac:dyDescent="0.3">
      <c r="A778">
        <v>10249</v>
      </c>
      <c r="B778">
        <v>20</v>
      </c>
      <c r="C778">
        <v>67.819999999999993</v>
      </c>
      <c r="D778">
        <v>1</v>
      </c>
      <c r="E778" s="1">
        <v>38204</v>
      </c>
      <c r="F778" t="s">
        <v>0</v>
      </c>
      <c r="G778">
        <v>2</v>
      </c>
      <c r="H778">
        <v>2004</v>
      </c>
      <c r="I778" t="s">
        <v>53</v>
      </c>
      <c r="J778" t="s">
        <v>310</v>
      </c>
      <c r="K778" t="s">
        <v>214</v>
      </c>
      <c r="L778" t="s">
        <v>215</v>
      </c>
      <c r="M778" t="s">
        <v>180</v>
      </c>
      <c r="N778" t="s">
        <v>181</v>
      </c>
      <c r="O778" t="s">
        <v>182</v>
      </c>
      <c r="P778" t="s">
        <v>5</v>
      </c>
      <c r="Q778" t="s">
        <v>6</v>
      </c>
      <c r="R778" t="s">
        <v>346</v>
      </c>
      <c r="S778" t="s">
        <v>7</v>
      </c>
      <c r="T778" t="s">
        <v>329</v>
      </c>
      <c r="U778">
        <f>Sales_Order[[#This Row],[Quantity ordered]]*Sales_Order[[#This Row],[Price each]]</f>
        <v>1356.3999999999999</v>
      </c>
    </row>
    <row r="779" spans="1:21" x14ac:dyDescent="0.3">
      <c r="A779">
        <v>10274</v>
      </c>
      <c r="B779">
        <v>40</v>
      </c>
      <c r="C779">
        <v>65.08</v>
      </c>
      <c r="D779">
        <v>2</v>
      </c>
      <c r="E779" s="1">
        <v>38189</v>
      </c>
      <c r="F779" t="s">
        <v>0</v>
      </c>
      <c r="G779">
        <v>3</v>
      </c>
      <c r="H779">
        <v>2004</v>
      </c>
      <c r="I779" t="s">
        <v>53</v>
      </c>
      <c r="J779" t="s">
        <v>310</v>
      </c>
      <c r="K779" t="s">
        <v>233</v>
      </c>
      <c r="L779" t="s">
        <v>234</v>
      </c>
      <c r="M779" t="s">
        <v>235</v>
      </c>
      <c r="N779" t="s">
        <v>181</v>
      </c>
      <c r="O779" t="s">
        <v>236</v>
      </c>
      <c r="P779" t="s">
        <v>5</v>
      </c>
      <c r="Q779" t="s">
        <v>6</v>
      </c>
      <c r="R779" t="s">
        <v>351</v>
      </c>
      <c r="S779" t="s">
        <v>7</v>
      </c>
      <c r="T779" t="s">
        <v>339</v>
      </c>
      <c r="U779">
        <f>Sales_Order[[#This Row],[Quantity ordered]]*Sales_Order[[#This Row],[Price each]]</f>
        <v>2603.1999999999998</v>
      </c>
    </row>
    <row r="780" spans="1:21" x14ac:dyDescent="0.3">
      <c r="A780">
        <v>10307</v>
      </c>
      <c r="B780">
        <v>25</v>
      </c>
      <c r="C780">
        <v>75.36</v>
      </c>
      <c r="D780">
        <v>2</v>
      </c>
      <c r="E780" s="1">
        <v>38274</v>
      </c>
      <c r="F780" t="s">
        <v>0</v>
      </c>
      <c r="G780">
        <v>4</v>
      </c>
      <c r="H780">
        <v>2004</v>
      </c>
      <c r="I780" t="s">
        <v>53</v>
      </c>
      <c r="J780" t="s">
        <v>310</v>
      </c>
      <c r="K780" t="s">
        <v>201</v>
      </c>
      <c r="L780" t="s">
        <v>202</v>
      </c>
      <c r="M780" t="s">
        <v>203</v>
      </c>
      <c r="N780" t="s">
        <v>186</v>
      </c>
      <c r="O780" t="s">
        <v>204</v>
      </c>
      <c r="P780" t="s">
        <v>5</v>
      </c>
      <c r="Q780" t="s">
        <v>6</v>
      </c>
      <c r="R780" t="s">
        <v>342</v>
      </c>
      <c r="S780" t="s">
        <v>7</v>
      </c>
      <c r="T780" t="s">
        <v>324</v>
      </c>
      <c r="U780">
        <f>Sales_Order[[#This Row],[Quantity ordered]]*Sales_Order[[#This Row],[Price each]]</f>
        <v>1884</v>
      </c>
    </row>
    <row r="781" spans="1:21" x14ac:dyDescent="0.3">
      <c r="A781">
        <v>10316</v>
      </c>
      <c r="B781">
        <v>34</v>
      </c>
      <c r="C781">
        <v>63.71</v>
      </c>
      <c r="D781">
        <v>10</v>
      </c>
      <c r="E781" s="1">
        <v>37997</v>
      </c>
      <c r="F781" t="s">
        <v>0</v>
      </c>
      <c r="G781">
        <v>4</v>
      </c>
      <c r="H781">
        <v>2004</v>
      </c>
      <c r="I781" t="s">
        <v>53</v>
      </c>
      <c r="J781" t="s">
        <v>310</v>
      </c>
      <c r="K781" t="s">
        <v>267</v>
      </c>
      <c r="L781" t="s">
        <v>268</v>
      </c>
      <c r="M781" t="s">
        <v>269</v>
      </c>
      <c r="N781" t="s">
        <v>270</v>
      </c>
      <c r="O781" t="s">
        <v>271</v>
      </c>
      <c r="P781" t="s">
        <v>193</v>
      </c>
      <c r="Q781" t="s">
        <v>157</v>
      </c>
      <c r="R781" t="s">
        <v>362</v>
      </c>
      <c r="S781" t="s">
        <v>7</v>
      </c>
      <c r="T781" t="s">
        <v>334</v>
      </c>
      <c r="U781">
        <f>Sales_Order[[#This Row],[Quantity ordered]]*Sales_Order[[#This Row],[Price each]]</f>
        <v>2166.14</v>
      </c>
    </row>
    <row r="782" spans="1:21" x14ac:dyDescent="0.3">
      <c r="A782">
        <v>10339</v>
      </c>
      <c r="B782">
        <v>55</v>
      </c>
      <c r="C782">
        <v>100</v>
      </c>
      <c r="D782">
        <v>12</v>
      </c>
      <c r="E782" s="1">
        <v>38314</v>
      </c>
      <c r="F782" t="s">
        <v>0</v>
      </c>
      <c r="G782">
        <v>4</v>
      </c>
      <c r="H782">
        <v>2004</v>
      </c>
      <c r="I782" t="s">
        <v>53</v>
      </c>
      <c r="J782" t="s">
        <v>310</v>
      </c>
      <c r="K782" t="s">
        <v>220</v>
      </c>
      <c r="L782" t="s">
        <v>221</v>
      </c>
      <c r="M782" t="s">
        <v>222</v>
      </c>
      <c r="N782" t="s">
        <v>223</v>
      </c>
      <c r="O782" t="s">
        <v>224</v>
      </c>
      <c r="P782" t="s">
        <v>195</v>
      </c>
      <c r="Q782" t="s">
        <v>195</v>
      </c>
      <c r="R782" t="s">
        <v>348</v>
      </c>
      <c r="S782" t="s">
        <v>8</v>
      </c>
      <c r="T782" t="s">
        <v>334</v>
      </c>
      <c r="U782">
        <f>Sales_Order[[#This Row],[Quantity ordered]]*Sales_Order[[#This Row],[Price each]]</f>
        <v>5500</v>
      </c>
    </row>
    <row r="783" spans="1:21" x14ac:dyDescent="0.3">
      <c r="A783">
        <v>10400</v>
      </c>
      <c r="B783">
        <v>24</v>
      </c>
      <c r="C783">
        <v>61.66</v>
      </c>
      <c r="D783">
        <v>2</v>
      </c>
      <c r="E783" s="1">
        <v>38356</v>
      </c>
      <c r="F783" t="s">
        <v>0</v>
      </c>
      <c r="G783">
        <v>2</v>
      </c>
      <c r="H783">
        <v>2005</v>
      </c>
      <c r="I783" t="s">
        <v>53</v>
      </c>
      <c r="J783" t="s">
        <v>310</v>
      </c>
      <c r="K783" t="s">
        <v>272</v>
      </c>
      <c r="L783" t="s">
        <v>273</v>
      </c>
      <c r="M783" t="s">
        <v>274</v>
      </c>
      <c r="N783" t="s">
        <v>161</v>
      </c>
      <c r="O783" t="s">
        <v>166</v>
      </c>
      <c r="P783" t="s">
        <v>5</v>
      </c>
      <c r="Q783" t="s">
        <v>6</v>
      </c>
      <c r="R783" t="s">
        <v>363</v>
      </c>
      <c r="S783" t="s">
        <v>7</v>
      </c>
      <c r="T783" t="s">
        <v>327</v>
      </c>
      <c r="U783">
        <f>Sales_Order[[#This Row],[Quantity ordered]]*Sales_Order[[#This Row],[Price each]]</f>
        <v>1479.84</v>
      </c>
    </row>
    <row r="784" spans="1:21" x14ac:dyDescent="0.3">
      <c r="A784">
        <v>10415</v>
      </c>
      <c r="B784">
        <v>21</v>
      </c>
      <c r="C784">
        <v>67.819999999999993</v>
      </c>
      <c r="D784">
        <v>1</v>
      </c>
      <c r="E784" s="1">
        <v>38600</v>
      </c>
      <c r="F784" t="s">
        <v>194</v>
      </c>
      <c r="G784">
        <v>2</v>
      </c>
      <c r="H784">
        <v>2005</v>
      </c>
      <c r="I784" t="s">
        <v>53</v>
      </c>
      <c r="J784" t="s">
        <v>310</v>
      </c>
      <c r="K784" t="s">
        <v>296</v>
      </c>
      <c r="L784" t="s">
        <v>297</v>
      </c>
      <c r="M784" t="s">
        <v>298</v>
      </c>
      <c r="N784" t="s">
        <v>12</v>
      </c>
      <c r="O784" t="s">
        <v>299</v>
      </c>
      <c r="P784" t="s">
        <v>13</v>
      </c>
      <c r="Q784" t="s">
        <v>14</v>
      </c>
      <c r="R784" t="s">
        <v>371</v>
      </c>
      <c r="S784" t="s">
        <v>7</v>
      </c>
      <c r="T784" t="s">
        <v>329</v>
      </c>
      <c r="U784">
        <f>Sales_Order[[#This Row],[Quantity ordered]]*Sales_Order[[#This Row],[Price each]]</f>
        <v>1424.2199999999998</v>
      </c>
    </row>
    <row r="785" spans="1:21" x14ac:dyDescent="0.3">
      <c r="A785">
        <v>10124</v>
      </c>
      <c r="B785">
        <v>25</v>
      </c>
      <c r="C785">
        <v>93.95</v>
      </c>
      <c r="D785">
        <v>9</v>
      </c>
      <c r="E785" s="1">
        <v>37762</v>
      </c>
      <c r="F785" t="s">
        <v>0</v>
      </c>
      <c r="G785">
        <v>2</v>
      </c>
      <c r="H785">
        <v>2003</v>
      </c>
      <c r="I785" t="s">
        <v>22</v>
      </c>
      <c r="J785" t="s">
        <v>97</v>
      </c>
      <c r="K785" t="s">
        <v>290</v>
      </c>
      <c r="L785" t="s">
        <v>291</v>
      </c>
      <c r="M785" t="s">
        <v>292</v>
      </c>
      <c r="N785" t="s">
        <v>293</v>
      </c>
      <c r="O785" t="s">
        <v>294</v>
      </c>
      <c r="P785" t="s">
        <v>5</v>
      </c>
      <c r="Q785" t="s">
        <v>6</v>
      </c>
      <c r="R785" t="s">
        <v>370</v>
      </c>
      <c r="S785" t="s">
        <v>7</v>
      </c>
      <c r="T785" t="s">
        <v>329</v>
      </c>
      <c r="U785">
        <f>Sales_Order[[#This Row],[Quantity ordered]]*Sales_Order[[#This Row],[Price each]]</f>
        <v>2348.75</v>
      </c>
    </row>
    <row r="786" spans="1:21" x14ac:dyDescent="0.3">
      <c r="A786">
        <v>10148</v>
      </c>
      <c r="B786">
        <v>34</v>
      </c>
      <c r="C786">
        <v>100</v>
      </c>
      <c r="D786">
        <v>3</v>
      </c>
      <c r="E786" s="1">
        <v>37934</v>
      </c>
      <c r="F786" t="s">
        <v>0</v>
      </c>
      <c r="G786">
        <v>3</v>
      </c>
      <c r="H786">
        <v>2003</v>
      </c>
      <c r="I786" t="s">
        <v>22</v>
      </c>
      <c r="J786" t="s">
        <v>97</v>
      </c>
      <c r="K786" t="s">
        <v>26</v>
      </c>
      <c r="L786" t="s">
        <v>27</v>
      </c>
      <c r="M786" t="s">
        <v>28</v>
      </c>
      <c r="N786" t="s">
        <v>21</v>
      </c>
      <c r="O786" t="s">
        <v>137</v>
      </c>
      <c r="P786" t="s">
        <v>13</v>
      </c>
      <c r="Q786" t="s">
        <v>14</v>
      </c>
      <c r="R786" t="s">
        <v>352</v>
      </c>
      <c r="S786" t="s">
        <v>8</v>
      </c>
      <c r="T786" t="s">
        <v>361</v>
      </c>
      <c r="U786">
        <f>Sales_Order[[#This Row],[Quantity ordered]]*Sales_Order[[#This Row],[Price each]]</f>
        <v>3400</v>
      </c>
    </row>
    <row r="787" spans="1:21" x14ac:dyDescent="0.3">
      <c r="A787">
        <v>10182</v>
      </c>
      <c r="B787">
        <v>20</v>
      </c>
      <c r="C787">
        <v>100</v>
      </c>
      <c r="D787">
        <v>13</v>
      </c>
      <c r="E787" s="1">
        <v>37966</v>
      </c>
      <c r="F787" t="s">
        <v>0</v>
      </c>
      <c r="G787">
        <v>4</v>
      </c>
      <c r="H787">
        <v>2003</v>
      </c>
      <c r="I787" t="s">
        <v>22</v>
      </c>
      <c r="J787" t="s">
        <v>97</v>
      </c>
      <c r="K787" t="s">
        <v>225</v>
      </c>
      <c r="L787" t="s">
        <v>226</v>
      </c>
      <c r="M787" t="s">
        <v>227</v>
      </c>
      <c r="N787" t="s">
        <v>161</v>
      </c>
      <c r="O787" t="s">
        <v>177</v>
      </c>
      <c r="P787" t="s">
        <v>5</v>
      </c>
      <c r="Q787" t="s">
        <v>6</v>
      </c>
      <c r="R787" t="s">
        <v>349</v>
      </c>
      <c r="S787" t="s">
        <v>7</v>
      </c>
      <c r="T787" t="s">
        <v>334</v>
      </c>
      <c r="U787">
        <f>Sales_Order[[#This Row],[Quantity ordered]]*Sales_Order[[#This Row],[Price each]]</f>
        <v>2000</v>
      </c>
    </row>
    <row r="788" spans="1:21" x14ac:dyDescent="0.3">
      <c r="A788">
        <v>10192</v>
      </c>
      <c r="B788">
        <v>23</v>
      </c>
      <c r="C788">
        <v>100</v>
      </c>
      <c r="D788">
        <v>1</v>
      </c>
      <c r="E788" s="1">
        <v>37945</v>
      </c>
      <c r="F788" t="s">
        <v>0</v>
      </c>
      <c r="G788">
        <v>4</v>
      </c>
      <c r="H788">
        <v>2003</v>
      </c>
      <c r="I788" t="s">
        <v>22</v>
      </c>
      <c r="J788" t="s">
        <v>97</v>
      </c>
      <c r="K788" t="s">
        <v>228</v>
      </c>
      <c r="L788" t="s">
        <v>229</v>
      </c>
      <c r="M788" t="s">
        <v>230</v>
      </c>
      <c r="N788" t="s">
        <v>231</v>
      </c>
      <c r="O788" t="s">
        <v>232</v>
      </c>
      <c r="P788" t="s">
        <v>5</v>
      </c>
      <c r="Q788" t="s">
        <v>6</v>
      </c>
      <c r="R788" t="s">
        <v>350</v>
      </c>
      <c r="S788" t="s">
        <v>8</v>
      </c>
      <c r="T788" t="s">
        <v>334</v>
      </c>
      <c r="U788">
        <f>Sales_Order[[#This Row],[Quantity ordered]]*Sales_Order[[#This Row],[Price each]]</f>
        <v>2300</v>
      </c>
    </row>
    <row r="789" spans="1:21" x14ac:dyDescent="0.3">
      <c r="A789">
        <v>10204</v>
      </c>
      <c r="B789">
        <v>42</v>
      </c>
      <c r="C789">
        <v>100</v>
      </c>
      <c r="D789">
        <v>7</v>
      </c>
      <c r="E789" s="1">
        <v>37664</v>
      </c>
      <c r="F789" t="s">
        <v>0</v>
      </c>
      <c r="G789">
        <v>4</v>
      </c>
      <c r="H789">
        <v>2003</v>
      </c>
      <c r="I789" t="s">
        <v>22</v>
      </c>
      <c r="J789" t="s">
        <v>97</v>
      </c>
      <c r="K789" t="s">
        <v>36</v>
      </c>
      <c r="L789" t="s">
        <v>37</v>
      </c>
      <c r="M789" t="s">
        <v>3</v>
      </c>
      <c r="N789" t="s">
        <v>4</v>
      </c>
      <c r="O789" t="s">
        <v>135</v>
      </c>
      <c r="P789" t="s">
        <v>5</v>
      </c>
      <c r="Q789" t="s">
        <v>6</v>
      </c>
      <c r="R789" t="s">
        <v>366</v>
      </c>
      <c r="S789" t="s">
        <v>8</v>
      </c>
      <c r="T789" t="s">
        <v>336</v>
      </c>
      <c r="U789">
        <f>Sales_Order[[#This Row],[Quantity ordered]]*Sales_Order[[#This Row],[Price each]]</f>
        <v>4200</v>
      </c>
    </row>
    <row r="790" spans="1:21" x14ac:dyDescent="0.3">
      <c r="A790">
        <v>10267</v>
      </c>
      <c r="B790">
        <v>43</v>
      </c>
      <c r="C790">
        <v>100</v>
      </c>
      <c r="D790">
        <v>2</v>
      </c>
      <c r="E790" s="1">
        <v>38175</v>
      </c>
      <c r="F790" t="s">
        <v>0</v>
      </c>
      <c r="G790">
        <v>3</v>
      </c>
      <c r="H790">
        <v>2004</v>
      </c>
      <c r="I790" t="s">
        <v>22</v>
      </c>
      <c r="J790" t="s">
        <v>97</v>
      </c>
      <c r="K790" t="s">
        <v>36</v>
      </c>
      <c r="L790" t="s">
        <v>37</v>
      </c>
      <c r="M790" t="s">
        <v>3</v>
      </c>
      <c r="N790" t="s">
        <v>4</v>
      </c>
      <c r="O790" t="s">
        <v>135</v>
      </c>
      <c r="P790" t="s">
        <v>5</v>
      </c>
      <c r="Q790" t="s">
        <v>6</v>
      </c>
      <c r="R790" t="s">
        <v>366</v>
      </c>
      <c r="S790" t="s">
        <v>8</v>
      </c>
      <c r="T790" t="s">
        <v>339</v>
      </c>
      <c r="U790">
        <f>Sales_Order[[#This Row],[Quantity ordered]]*Sales_Order[[#This Row],[Price each]]</f>
        <v>4300</v>
      </c>
    </row>
    <row r="791" spans="1:21" x14ac:dyDescent="0.3">
      <c r="A791">
        <v>10346</v>
      </c>
      <c r="B791">
        <v>24</v>
      </c>
      <c r="C791">
        <v>87.24</v>
      </c>
      <c r="D791">
        <v>5</v>
      </c>
      <c r="E791" s="1">
        <v>38320</v>
      </c>
      <c r="F791" t="s">
        <v>0</v>
      </c>
      <c r="G791">
        <v>4</v>
      </c>
      <c r="H791">
        <v>2004</v>
      </c>
      <c r="I791" t="s">
        <v>22</v>
      </c>
      <c r="J791" t="s">
        <v>97</v>
      </c>
      <c r="K791" t="s">
        <v>290</v>
      </c>
      <c r="L791" t="s">
        <v>291</v>
      </c>
      <c r="M791" t="s">
        <v>292</v>
      </c>
      <c r="N791" t="s">
        <v>293</v>
      </c>
      <c r="O791" t="s">
        <v>294</v>
      </c>
      <c r="P791" t="s">
        <v>5</v>
      </c>
      <c r="Q791" t="s">
        <v>6</v>
      </c>
      <c r="R791" t="s">
        <v>370</v>
      </c>
      <c r="S791" t="s">
        <v>7</v>
      </c>
      <c r="T791" t="s">
        <v>334</v>
      </c>
      <c r="U791">
        <f>Sales_Order[[#This Row],[Quantity ordered]]*Sales_Order[[#This Row],[Price each]]</f>
        <v>2093.7599999999998</v>
      </c>
    </row>
    <row r="792" spans="1:21" x14ac:dyDescent="0.3">
      <c r="A792">
        <v>10368</v>
      </c>
      <c r="B792">
        <v>31</v>
      </c>
      <c r="C792">
        <v>100</v>
      </c>
      <c r="D792">
        <v>5</v>
      </c>
      <c r="E792" s="1">
        <v>38371</v>
      </c>
      <c r="F792" t="s">
        <v>0</v>
      </c>
      <c r="G792">
        <v>1</v>
      </c>
      <c r="H792">
        <v>2005</v>
      </c>
      <c r="I792" t="s">
        <v>22</v>
      </c>
      <c r="J792" t="s">
        <v>97</v>
      </c>
      <c r="K792" t="s">
        <v>225</v>
      </c>
      <c r="L792" t="s">
        <v>226</v>
      </c>
      <c r="M792" t="s">
        <v>227</v>
      </c>
      <c r="N792" t="s">
        <v>161</v>
      </c>
      <c r="O792" t="s">
        <v>177</v>
      </c>
      <c r="P792" t="s">
        <v>5</v>
      </c>
      <c r="Q792" t="s">
        <v>6</v>
      </c>
      <c r="R792" t="s">
        <v>349</v>
      </c>
      <c r="S792" t="s">
        <v>8</v>
      </c>
      <c r="T792" t="s">
        <v>345</v>
      </c>
      <c r="U792">
        <f>Sales_Order[[#This Row],[Quantity ordered]]*Sales_Order[[#This Row],[Price each]]</f>
        <v>3100</v>
      </c>
    </row>
    <row r="793" spans="1:21" x14ac:dyDescent="0.3">
      <c r="A793">
        <v>10407</v>
      </c>
      <c r="B793">
        <v>59</v>
      </c>
      <c r="C793">
        <v>98.65</v>
      </c>
      <c r="D793">
        <v>5</v>
      </c>
      <c r="E793" s="1">
        <v>38464</v>
      </c>
      <c r="F793" t="s">
        <v>275</v>
      </c>
      <c r="G793">
        <v>2</v>
      </c>
      <c r="H793">
        <v>2005</v>
      </c>
      <c r="I793" t="s">
        <v>22</v>
      </c>
      <c r="J793" t="s">
        <v>97</v>
      </c>
      <c r="K793" t="s">
        <v>272</v>
      </c>
      <c r="L793" t="s">
        <v>273</v>
      </c>
      <c r="M793" t="s">
        <v>274</v>
      </c>
      <c r="N793" t="s">
        <v>161</v>
      </c>
      <c r="O793" t="s">
        <v>166</v>
      </c>
      <c r="P793" t="s">
        <v>5</v>
      </c>
      <c r="Q793" t="s">
        <v>6</v>
      </c>
      <c r="R793" t="s">
        <v>363</v>
      </c>
      <c r="S793" t="s">
        <v>8</v>
      </c>
      <c r="T793" t="s">
        <v>327</v>
      </c>
      <c r="U793">
        <f>Sales_Order[[#This Row],[Quantity ordered]]*Sales_Order[[#This Row],[Price each]]</f>
        <v>5820.35</v>
      </c>
    </row>
    <row r="794" spans="1:21" x14ac:dyDescent="0.3">
      <c r="A794">
        <v>10420</v>
      </c>
      <c r="B794">
        <v>55</v>
      </c>
      <c r="C794">
        <v>96.3</v>
      </c>
      <c r="D794">
        <v>8</v>
      </c>
      <c r="E794" s="1">
        <v>38501</v>
      </c>
      <c r="F794" t="s">
        <v>29</v>
      </c>
      <c r="G794">
        <v>2</v>
      </c>
      <c r="H794">
        <v>2005</v>
      </c>
      <c r="I794" t="s">
        <v>22</v>
      </c>
      <c r="J794" t="s">
        <v>97</v>
      </c>
      <c r="K794" t="s">
        <v>18</v>
      </c>
      <c r="L794" t="s">
        <v>19</v>
      </c>
      <c r="M794" t="s">
        <v>20</v>
      </c>
      <c r="N794" t="s">
        <v>21</v>
      </c>
      <c r="O794" t="s">
        <v>136</v>
      </c>
      <c r="P794" t="s">
        <v>13</v>
      </c>
      <c r="Q794" t="s">
        <v>14</v>
      </c>
      <c r="R794" t="s">
        <v>335</v>
      </c>
      <c r="S794" t="s">
        <v>8</v>
      </c>
      <c r="T794" t="s">
        <v>329</v>
      </c>
      <c r="U794">
        <f>Sales_Order[[#This Row],[Quantity ordered]]*Sales_Order[[#This Row],[Price each]]</f>
        <v>5296.5</v>
      </c>
    </row>
    <row r="795" spans="1:21" x14ac:dyDescent="0.3">
      <c r="A795">
        <v>10109</v>
      </c>
      <c r="B795">
        <v>29</v>
      </c>
      <c r="C795">
        <v>32.1</v>
      </c>
      <c r="D795">
        <v>6</v>
      </c>
      <c r="E795" s="1">
        <v>37897</v>
      </c>
      <c r="F795" t="s">
        <v>0</v>
      </c>
      <c r="G795">
        <v>1</v>
      </c>
      <c r="H795">
        <v>2003</v>
      </c>
      <c r="I795" t="s">
        <v>22</v>
      </c>
      <c r="J795" t="s">
        <v>98</v>
      </c>
      <c r="K795" t="s">
        <v>246</v>
      </c>
      <c r="L795" t="s">
        <v>247</v>
      </c>
      <c r="M795" t="s">
        <v>203</v>
      </c>
      <c r="N795" t="s">
        <v>186</v>
      </c>
      <c r="O795" t="s">
        <v>204</v>
      </c>
      <c r="P795" t="s">
        <v>5</v>
      </c>
      <c r="Q795" t="s">
        <v>6</v>
      </c>
      <c r="R795" t="s">
        <v>355</v>
      </c>
      <c r="S795" t="s">
        <v>7</v>
      </c>
      <c r="T795" t="s">
        <v>338</v>
      </c>
      <c r="U795">
        <f>Sales_Order[[#This Row],[Quantity ordered]]*Sales_Order[[#This Row],[Price each]]</f>
        <v>930.90000000000009</v>
      </c>
    </row>
    <row r="796" spans="1:21" x14ac:dyDescent="0.3">
      <c r="A796">
        <v>10135</v>
      </c>
      <c r="B796">
        <v>20</v>
      </c>
      <c r="C796">
        <v>35.869999999999997</v>
      </c>
      <c r="D796">
        <v>1</v>
      </c>
      <c r="E796" s="1">
        <v>37659</v>
      </c>
      <c r="F796" t="s">
        <v>0</v>
      </c>
      <c r="G796">
        <v>3</v>
      </c>
      <c r="H796">
        <v>2003</v>
      </c>
      <c r="I796" t="s">
        <v>22</v>
      </c>
      <c r="J796" t="s">
        <v>98</v>
      </c>
      <c r="K796" t="s">
        <v>225</v>
      </c>
      <c r="L796" t="s">
        <v>226</v>
      </c>
      <c r="M796" t="s">
        <v>227</v>
      </c>
      <c r="N796" t="s">
        <v>161</v>
      </c>
      <c r="O796" t="s">
        <v>177</v>
      </c>
      <c r="P796" t="s">
        <v>5</v>
      </c>
      <c r="Q796" t="s">
        <v>6</v>
      </c>
      <c r="R796" t="s">
        <v>349</v>
      </c>
      <c r="S796" t="s">
        <v>7</v>
      </c>
      <c r="T796" t="s">
        <v>339</v>
      </c>
      <c r="U796">
        <f>Sales_Order[[#This Row],[Quantity ordered]]*Sales_Order[[#This Row],[Price each]]</f>
        <v>717.4</v>
      </c>
    </row>
    <row r="797" spans="1:21" x14ac:dyDescent="0.3">
      <c r="A797">
        <v>10147</v>
      </c>
      <c r="B797">
        <v>25</v>
      </c>
      <c r="C797">
        <v>42.67</v>
      </c>
      <c r="D797">
        <v>1</v>
      </c>
      <c r="E797" s="1">
        <v>37750</v>
      </c>
      <c r="F797" t="s">
        <v>0</v>
      </c>
      <c r="G797">
        <v>3</v>
      </c>
      <c r="H797">
        <v>2003</v>
      </c>
      <c r="I797" t="s">
        <v>22</v>
      </c>
      <c r="J797" t="s">
        <v>98</v>
      </c>
      <c r="K797" t="s">
        <v>233</v>
      </c>
      <c r="L797" t="s">
        <v>234</v>
      </c>
      <c r="M797" t="s">
        <v>235</v>
      </c>
      <c r="N797" t="s">
        <v>181</v>
      </c>
      <c r="O797" t="s">
        <v>236</v>
      </c>
      <c r="P797" t="s">
        <v>5</v>
      </c>
      <c r="Q797" t="s">
        <v>6</v>
      </c>
      <c r="R797" t="s">
        <v>351</v>
      </c>
      <c r="S797" t="s">
        <v>7</v>
      </c>
      <c r="T797" t="s">
        <v>361</v>
      </c>
      <c r="U797">
        <f>Sales_Order[[#This Row],[Quantity ordered]]*Sales_Order[[#This Row],[Price each]]</f>
        <v>1066.75</v>
      </c>
    </row>
    <row r="798" spans="1:21" x14ac:dyDescent="0.3">
      <c r="A798">
        <v>10171</v>
      </c>
      <c r="B798">
        <v>36</v>
      </c>
      <c r="C798">
        <v>35.49</v>
      </c>
      <c r="D798">
        <v>4</v>
      </c>
      <c r="E798" s="1">
        <v>37752</v>
      </c>
      <c r="F798" t="s">
        <v>0</v>
      </c>
      <c r="G798">
        <v>4</v>
      </c>
      <c r="H798">
        <v>2003</v>
      </c>
      <c r="I798" t="s">
        <v>22</v>
      </c>
      <c r="J798" t="s">
        <v>98</v>
      </c>
      <c r="K798" t="s">
        <v>237</v>
      </c>
      <c r="L798" t="s">
        <v>238</v>
      </c>
      <c r="M798" t="s">
        <v>239</v>
      </c>
      <c r="N798" t="s">
        <v>240</v>
      </c>
      <c r="O798" t="s">
        <v>241</v>
      </c>
      <c r="P798" t="s">
        <v>210</v>
      </c>
      <c r="Q798" t="s">
        <v>6</v>
      </c>
      <c r="R798" t="s">
        <v>353</v>
      </c>
      <c r="S798" t="s">
        <v>7</v>
      </c>
      <c r="T798" t="s">
        <v>334</v>
      </c>
      <c r="U798">
        <f>Sales_Order[[#This Row],[Quantity ordered]]*Sales_Order[[#This Row],[Price each]]</f>
        <v>1277.6400000000001</v>
      </c>
    </row>
    <row r="799" spans="1:21" x14ac:dyDescent="0.3">
      <c r="A799">
        <v>10192</v>
      </c>
      <c r="B799">
        <v>30</v>
      </c>
      <c r="C799">
        <v>30.59</v>
      </c>
      <c r="D799">
        <v>13</v>
      </c>
      <c r="E799" s="1">
        <v>37945</v>
      </c>
      <c r="F799" t="s">
        <v>0</v>
      </c>
      <c r="G799">
        <v>4</v>
      </c>
      <c r="H799">
        <v>2003</v>
      </c>
      <c r="I799" t="s">
        <v>22</v>
      </c>
      <c r="J799" t="s">
        <v>98</v>
      </c>
      <c r="K799" t="s">
        <v>228</v>
      </c>
      <c r="L799" t="s">
        <v>229</v>
      </c>
      <c r="M799" t="s">
        <v>230</v>
      </c>
      <c r="N799" t="s">
        <v>231</v>
      </c>
      <c r="O799" t="s">
        <v>232</v>
      </c>
      <c r="P799" t="s">
        <v>5</v>
      </c>
      <c r="Q799" t="s">
        <v>6</v>
      </c>
      <c r="R799" t="s">
        <v>350</v>
      </c>
      <c r="S799" t="s">
        <v>7</v>
      </c>
      <c r="T799" t="s">
        <v>334</v>
      </c>
      <c r="U799">
        <f>Sales_Order[[#This Row],[Quantity ordered]]*Sales_Order[[#This Row],[Price each]]</f>
        <v>917.7</v>
      </c>
    </row>
    <row r="800" spans="1:21" x14ac:dyDescent="0.3">
      <c r="A800">
        <v>10278</v>
      </c>
      <c r="B800">
        <v>31</v>
      </c>
      <c r="C800">
        <v>38.89</v>
      </c>
      <c r="D800">
        <v>8</v>
      </c>
      <c r="E800" s="1">
        <v>38146</v>
      </c>
      <c r="F800" t="s">
        <v>0</v>
      </c>
      <c r="G800">
        <v>3</v>
      </c>
      <c r="H800">
        <v>2004</v>
      </c>
      <c r="I800" t="s">
        <v>22</v>
      </c>
      <c r="J800" t="s">
        <v>98</v>
      </c>
      <c r="K800" t="s">
        <v>290</v>
      </c>
      <c r="L800" t="s">
        <v>291</v>
      </c>
      <c r="M800" t="s">
        <v>292</v>
      </c>
      <c r="N800" t="s">
        <v>293</v>
      </c>
      <c r="O800" t="s">
        <v>294</v>
      </c>
      <c r="P800" t="s">
        <v>5</v>
      </c>
      <c r="Q800" t="s">
        <v>6</v>
      </c>
      <c r="R800" t="s">
        <v>370</v>
      </c>
      <c r="S800" t="s">
        <v>7</v>
      </c>
      <c r="T800" t="s">
        <v>322</v>
      </c>
      <c r="U800">
        <f>Sales_Order[[#This Row],[Quantity ordered]]*Sales_Order[[#This Row],[Price each]]</f>
        <v>1205.5899999999999</v>
      </c>
    </row>
    <row r="801" spans="1:21" x14ac:dyDescent="0.3">
      <c r="A801">
        <v>10321</v>
      </c>
      <c r="B801">
        <v>37</v>
      </c>
      <c r="C801">
        <v>33.229999999999997</v>
      </c>
      <c r="D801">
        <v>12</v>
      </c>
      <c r="E801" s="1">
        <v>38088</v>
      </c>
      <c r="F801" t="s">
        <v>0</v>
      </c>
      <c r="G801">
        <v>4</v>
      </c>
      <c r="H801">
        <v>2004</v>
      </c>
      <c r="I801" t="s">
        <v>22</v>
      </c>
      <c r="J801" t="s">
        <v>98</v>
      </c>
      <c r="K801" t="s">
        <v>189</v>
      </c>
      <c r="L801" t="s">
        <v>190</v>
      </c>
      <c r="M801" t="s">
        <v>191</v>
      </c>
      <c r="N801" t="s">
        <v>181</v>
      </c>
      <c r="O801" t="s">
        <v>192</v>
      </c>
      <c r="P801" t="s">
        <v>5</v>
      </c>
      <c r="Q801" t="s">
        <v>6</v>
      </c>
      <c r="R801" t="s">
        <v>337</v>
      </c>
      <c r="S801" t="s">
        <v>7</v>
      </c>
      <c r="T801" t="s">
        <v>334</v>
      </c>
      <c r="U801">
        <f>Sales_Order[[#This Row],[Quantity ordered]]*Sales_Order[[#This Row],[Price each]]</f>
        <v>1229.51</v>
      </c>
    </row>
    <row r="802" spans="1:21" x14ac:dyDescent="0.3">
      <c r="A802">
        <v>10331</v>
      </c>
      <c r="B802">
        <v>27</v>
      </c>
      <c r="C802">
        <v>42.24</v>
      </c>
      <c r="D802">
        <v>13</v>
      </c>
      <c r="E802" s="1">
        <v>38308</v>
      </c>
      <c r="F802" t="s">
        <v>0</v>
      </c>
      <c r="G802">
        <v>4</v>
      </c>
      <c r="H802">
        <v>2004</v>
      </c>
      <c r="I802" t="s">
        <v>22</v>
      </c>
      <c r="J802" t="s">
        <v>98</v>
      </c>
      <c r="K802" t="s">
        <v>246</v>
      </c>
      <c r="L802" t="s">
        <v>247</v>
      </c>
      <c r="M802" t="s">
        <v>203</v>
      </c>
      <c r="N802" t="s">
        <v>186</v>
      </c>
      <c r="O802" t="s">
        <v>204</v>
      </c>
      <c r="P802" t="s">
        <v>5</v>
      </c>
      <c r="Q802" t="s">
        <v>6</v>
      </c>
      <c r="R802" t="s">
        <v>355</v>
      </c>
      <c r="S802" t="s">
        <v>7</v>
      </c>
      <c r="T802" t="s">
        <v>334</v>
      </c>
      <c r="U802">
        <f>Sales_Order[[#This Row],[Quantity ordered]]*Sales_Order[[#This Row],[Price each]]</f>
        <v>1140.48</v>
      </c>
    </row>
    <row r="803" spans="1:21" x14ac:dyDescent="0.3">
      <c r="A803">
        <v>10342</v>
      </c>
      <c r="B803">
        <v>39</v>
      </c>
      <c r="C803">
        <v>40.4</v>
      </c>
      <c r="D803">
        <v>9</v>
      </c>
      <c r="E803" s="1">
        <v>38315</v>
      </c>
      <c r="F803" t="s">
        <v>0</v>
      </c>
      <c r="G803">
        <v>4</v>
      </c>
      <c r="H803">
        <v>2004</v>
      </c>
      <c r="I803" t="s">
        <v>22</v>
      </c>
      <c r="J803" t="s">
        <v>98</v>
      </c>
      <c r="K803" t="s">
        <v>9</v>
      </c>
      <c r="L803" t="s">
        <v>10</v>
      </c>
      <c r="M803" t="s">
        <v>11</v>
      </c>
      <c r="N803" t="s">
        <v>12</v>
      </c>
      <c r="O803" t="s">
        <v>134</v>
      </c>
      <c r="P803" t="s">
        <v>13</v>
      </c>
      <c r="Q803" t="s">
        <v>14</v>
      </c>
      <c r="R803" t="s">
        <v>325</v>
      </c>
      <c r="S803" t="s">
        <v>7</v>
      </c>
      <c r="T803" t="s">
        <v>334</v>
      </c>
      <c r="U803">
        <f>Sales_Order[[#This Row],[Quantity ordered]]*Sales_Order[[#This Row],[Price each]]</f>
        <v>1575.6</v>
      </c>
    </row>
    <row r="804" spans="1:21" x14ac:dyDescent="0.3">
      <c r="A804">
        <v>10367</v>
      </c>
      <c r="B804">
        <v>36</v>
      </c>
      <c r="C804">
        <v>100</v>
      </c>
      <c r="D804">
        <v>2</v>
      </c>
      <c r="E804" s="1">
        <v>38687</v>
      </c>
      <c r="F804" t="s">
        <v>276</v>
      </c>
      <c r="G804">
        <v>1</v>
      </c>
      <c r="H804">
        <v>2005</v>
      </c>
      <c r="I804" t="s">
        <v>22</v>
      </c>
      <c r="J804" t="s">
        <v>98</v>
      </c>
      <c r="K804" t="s">
        <v>158</v>
      </c>
      <c r="L804" t="s">
        <v>159</v>
      </c>
      <c r="M804" t="s">
        <v>160</v>
      </c>
      <c r="N804" t="s">
        <v>161</v>
      </c>
      <c r="O804" t="s">
        <v>162</v>
      </c>
      <c r="P804" t="s">
        <v>5</v>
      </c>
      <c r="Q804" t="s">
        <v>6</v>
      </c>
      <c r="R804" t="s">
        <v>321</v>
      </c>
      <c r="S804" t="s">
        <v>8</v>
      </c>
      <c r="T804" t="s">
        <v>345</v>
      </c>
      <c r="U804">
        <f>Sales_Order[[#This Row],[Quantity ordered]]*Sales_Order[[#This Row],[Price each]]</f>
        <v>3600</v>
      </c>
    </row>
    <row r="805" spans="1:21" x14ac:dyDescent="0.3">
      <c r="A805">
        <v>10390</v>
      </c>
      <c r="B805">
        <v>37</v>
      </c>
      <c r="C805">
        <v>100</v>
      </c>
      <c r="D805">
        <v>5</v>
      </c>
      <c r="E805" s="1">
        <v>38445</v>
      </c>
      <c r="F805" t="s">
        <v>0</v>
      </c>
      <c r="G805">
        <v>1</v>
      </c>
      <c r="H805">
        <v>2005</v>
      </c>
      <c r="I805" t="s">
        <v>22</v>
      </c>
      <c r="J805" t="s">
        <v>98</v>
      </c>
      <c r="K805" t="s">
        <v>225</v>
      </c>
      <c r="L805" t="s">
        <v>226</v>
      </c>
      <c r="M805" t="s">
        <v>227</v>
      </c>
      <c r="N805" t="s">
        <v>161</v>
      </c>
      <c r="O805" t="s">
        <v>177</v>
      </c>
      <c r="P805" t="s">
        <v>5</v>
      </c>
      <c r="Q805" t="s">
        <v>6</v>
      </c>
      <c r="R805" t="s">
        <v>349</v>
      </c>
      <c r="S805" t="s">
        <v>8</v>
      </c>
      <c r="T805" t="s">
        <v>338</v>
      </c>
      <c r="U805">
        <f>Sales_Order[[#This Row],[Quantity ordered]]*Sales_Order[[#This Row],[Price each]]</f>
        <v>3700</v>
      </c>
    </row>
    <row r="806" spans="1:21" x14ac:dyDescent="0.3">
      <c r="A806">
        <v>10142</v>
      </c>
      <c r="B806">
        <v>49</v>
      </c>
      <c r="C806">
        <v>98.25</v>
      </c>
      <c r="D806">
        <v>1</v>
      </c>
      <c r="E806" s="1">
        <v>37841</v>
      </c>
      <c r="F806" t="s">
        <v>0</v>
      </c>
      <c r="G806">
        <v>3</v>
      </c>
      <c r="H806">
        <v>2003</v>
      </c>
      <c r="I806" t="s">
        <v>49</v>
      </c>
      <c r="J806" t="s">
        <v>311</v>
      </c>
      <c r="K806" t="s">
        <v>225</v>
      </c>
      <c r="L806" t="s">
        <v>226</v>
      </c>
      <c r="M806" t="s">
        <v>227</v>
      </c>
      <c r="N806" t="s">
        <v>161</v>
      </c>
      <c r="O806" t="s">
        <v>177</v>
      </c>
      <c r="P806" t="s">
        <v>5</v>
      </c>
      <c r="Q806" t="s">
        <v>6</v>
      </c>
      <c r="R806" t="s">
        <v>349</v>
      </c>
      <c r="S806" t="s">
        <v>8</v>
      </c>
      <c r="T806" t="s">
        <v>322</v>
      </c>
      <c r="U806">
        <f>Sales_Order[[#This Row],[Quantity ordered]]*Sales_Order[[#This Row],[Price each]]</f>
        <v>4814.25</v>
      </c>
    </row>
    <row r="807" spans="1:21" x14ac:dyDescent="0.3">
      <c r="A807">
        <v>10154</v>
      </c>
      <c r="B807">
        <v>31</v>
      </c>
      <c r="C807">
        <v>91.17</v>
      </c>
      <c r="D807">
        <v>2</v>
      </c>
      <c r="E807" s="1">
        <v>37662</v>
      </c>
      <c r="F807" t="s">
        <v>0</v>
      </c>
      <c r="G807">
        <v>4</v>
      </c>
      <c r="H807">
        <v>2003</v>
      </c>
      <c r="I807" t="s">
        <v>49</v>
      </c>
      <c r="J807" t="s">
        <v>311</v>
      </c>
      <c r="K807" t="s">
        <v>282</v>
      </c>
      <c r="L807" t="s">
        <v>283</v>
      </c>
      <c r="M807" t="s">
        <v>284</v>
      </c>
      <c r="N807" t="s">
        <v>161</v>
      </c>
      <c r="O807" t="s">
        <v>285</v>
      </c>
      <c r="P807" t="s">
        <v>5</v>
      </c>
      <c r="Q807" t="s">
        <v>6</v>
      </c>
      <c r="R807" t="s">
        <v>368</v>
      </c>
      <c r="S807" t="s">
        <v>7</v>
      </c>
      <c r="T807" t="s">
        <v>324</v>
      </c>
      <c r="U807">
        <f>Sales_Order[[#This Row],[Quantity ordered]]*Sales_Order[[#This Row],[Price each]]</f>
        <v>2826.27</v>
      </c>
    </row>
    <row r="808" spans="1:21" x14ac:dyDescent="0.3">
      <c r="A808">
        <v>10185</v>
      </c>
      <c r="B808">
        <v>33</v>
      </c>
      <c r="C808">
        <v>74.349999999999994</v>
      </c>
      <c r="D808">
        <v>2</v>
      </c>
      <c r="E808" s="1">
        <v>37939</v>
      </c>
      <c r="F808" t="s">
        <v>0</v>
      </c>
      <c r="G808">
        <v>4</v>
      </c>
      <c r="H808">
        <v>2003</v>
      </c>
      <c r="I808" t="s">
        <v>49</v>
      </c>
      <c r="J808" t="s">
        <v>311</v>
      </c>
      <c r="K808" t="s">
        <v>252</v>
      </c>
      <c r="L808" t="s">
        <v>253</v>
      </c>
      <c r="M808" t="s">
        <v>191</v>
      </c>
      <c r="N808" t="s">
        <v>181</v>
      </c>
      <c r="O808" t="s">
        <v>192</v>
      </c>
      <c r="P808" t="s">
        <v>5</v>
      </c>
      <c r="Q808" t="s">
        <v>6</v>
      </c>
      <c r="R808" t="s">
        <v>357</v>
      </c>
      <c r="S808" t="s">
        <v>7</v>
      </c>
      <c r="T808" t="s">
        <v>334</v>
      </c>
      <c r="U808">
        <f>Sales_Order[[#This Row],[Quantity ordered]]*Sales_Order[[#This Row],[Price each]]</f>
        <v>2453.5499999999997</v>
      </c>
    </row>
    <row r="809" spans="1:21" x14ac:dyDescent="0.3">
      <c r="A809">
        <v>10222</v>
      </c>
      <c r="B809">
        <v>47</v>
      </c>
      <c r="C809">
        <v>70.81</v>
      </c>
      <c r="D809">
        <v>14</v>
      </c>
      <c r="E809" s="1">
        <v>38036</v>
      </c>
      <c r="F809" t="s">
        <v>0</v>
      </c>
      <c r="G809">
        <v>1</v>
      </c>
      <c r="H809">
        <v>2004</v>
      </c>
      <c r="I809" t="s">
        <v>49</v>
      </c>
      <c r="J809" t="s">
        <v>311</v>
      </c>
      <c r="K809" t="s">
        <v>255</v>
      </c>
      <c r="L809" t="s">
        <v>256</v>
      </c>
      <c r="M809" t="s">
        <v>257</v>
      </c>
      <c r="N809" t="s">
        <v>161</v>
      </c>
      <c r="O809" t="s">
        <v>258</v>
      </c>
      <c r="P809" t="s">
        <v>5</v>
      </c>
      <c r="Q809" t="s">
        <v>6</v>
      </c>
      <c r="R809" t="s">
        <v>358</v>
      </c>
      <c r="S809" t="s">
        <v>8</v>
      </c>
      <c r="T809" t="s">
        <v>320</v>
      </c>
      <c r="U809">
        <f>Sales_Order[[#This Row],[Quantity ordered]]*Sales_Order[[#This Row],[Price each]]</f>
        <v>3328.07</v>
      </c>
    </row>
    <row r="810" spans="1:21" x14ac:dyDescent="0.3">
      <c r="A810">
        <v>10233</v>
      </c>
      <c r="B810">
        <v>40</v>
      </c>
      <c r="C810">
        <v>94.71</v>
      </c>
      <c r="D810">
        <v>2</v>
      </c>
      <c r="E810" s="1">
        <v>38075</v>
      </c>
      <c r="F810" t="s">
        <v>0</v>
      </c>
      <c r="G810">
        <v>1</v>
      </c>
      <c r="H810">
        <v>2004</v>
      </c>
      <c r="I810" t="s">
        <v>49</v>
      </c>
      <c r="J810" t="s">
        <v>311</v>
      </c>
      <c r="K810" t="s">
        <v>168</v>
      </c>
      <c r="L810" t="s">
        <v>169</v>
      </c>
      <c r="M810" t="s">
        <v>170</v>
      </c>
      <c r="N810" t="s">
        <v>171</v>
      </c>
      <c r="O810" t="s">
        <v>172</v>
      </c>
      <c r="P810" t="s">
        <v>5</v>
      </c>
      <c r="Q810" t="s">
        <v>6</v>
      </c>
      <c r="R810" t="s">
        <v>328</v>
      </c>
      <c r="S810" t="s">
        <v>8</v>
      </c>
      <c r="T810" t="s">
        <v>338</v>
      </c>
      <c r="U810">
        <f>Sales_Order[[#This Row],[Quantity ordered]]*Sales_Order[[#This Row],[Price each]]</f>
        <v>3788.3999999999996</v>
      </c>
    </row>
    <row r="811" spans="1:21" x14ac:dyDescent="0.3">
      <c r="A811">
        <v>10248</v>
      </c>
      <c r="B811">
        <v>30</v>
      </c>
      <c r="C811">
        <v>100</v>
      </c>
      <c r="D811">
        <v>5</v>
      </c>
      <c r="E811" s="1">
        <v>38173</v>
      </c>
      <c r="F811" t="s">
        <v>254</v>
      </c>
      <c r="G811">
        <v>2</v>
      </c>
      <c r="H811">
        <v>2004</v>
      </c>
      <c r="I811" t="s">
        <v>49</v>
      </c>
      <c r="J811" t="s">
        <v>311</v>
      </c>
      <c r="K811" t="s">
        <v>155</v>
      </c>
      <c r="L811" t="s">
        <v>156</v>
      </c>
      <c r="M811" t="s">
        <v>3</v>
      </c>
      <c r="N811" t="s">
        <v>4</v>
      </c>
      <c r="O811" t="s">
        <v>135</v>
      </c>
      <c r="P811" t="s">
        <v>5</v>
      </c>
      <c r="Q811" t="s">
        <v>6</v>
      </c>
      <c r="R811" t="s">
        <v>319</v>
      </c>
      <c r="S811" t="s">
        <v>8</v>
      </c>
      <c r="T811" t="s">
        <v>329</v>
      </c>
      <c r="U811">
        <f>Sales_Order[[#This Row],[Quantity ordered]]*Sales_Order[[#This Row],[Price each]]</f>
        <v>3000</v>
      </c>
    </row>
    <row r="812" spans="1:21" x14ac:dyDescent="0.3">
      <c r="A812">
        <v>10261</v>
      </c>
      <c r="B812">
        <v>22</v>
      </c>
      <c r="C812">
        <v>91.17</v>
      </c>
      <c r="D812">
        <v>3</v>
      </c>
      <c r="E812" s="1">
        <v>38155</v>
      </c>
      <c r="F812" t="s">
        <v>0</v>
      </c>
      <c r="G812">
        <v>2</v>
      </c>
      <c r="H812">
        <v>2004</v>
      </c>
      <c r="I812" t="s">
        <v>49</v>
      </c>
      <c r="J812" t="s">
        <v>311</v>
      </c>
      <c r="K812" t="s">
        <v>237</v>
      </c>
      <c r="L812" t="s">
        <v>238</v>
      </c>
      <c r="M812" t="s">
        <v>239</v>
      </c>
      <c r="N812" t="s">
        <v>240</v>
      </c>
      <c r="O812" t="s">
        <v>241</v>
      </c>
      <c r="P812" t="s">
        <v>210</v>
      </c>
      <c r="Q812" t="s">
        <v>6</v>
      </c>
      <c r="R812" t="s">
        <v>353</v>
      </c>
      <c r="S812" t="s">
        <v>7</v>
      </c>
      <c r="T812" t="s">
        <v>331</v>
      </c>
      <c r="U812">
        <f>Sales_Order[[#This Row],[Quantity ordered]]*Sales_Order[[#This Row],[Price each]]</f>
        <v>2005.74</v>
      </c>
    </row>
    <row r="813" spans="1:21" x14ac:dyDescent="0.3">
      <c r="A813">
        <v>10283</v>
      </c>
      <c r="B813">
        <v>34</v>
      </c>
      <c r="C813">
        <v>92.94</v>
      </c>
      <c r="D813">
        <v>8</v>
      </c>
      <c r="E813" s="1">
        <v>38219</v>
      </c>
      <c r="F813" t="s">
        <v>0</v>
      </c>
      <c r="G813">
        <v>3</v>
      </c>
      <c r="H813">
        <v>2004</v>
      </c>
      <c r="I813" t="s">
        <v>49</v>
      </c>
      <c r="J813" t="s">
        <v>311</v>
      </c>
      <c r="K813" t="s">
        <v>259</v>
      </c>
      <c r="L813" t="s">
        <v>260</v>
      </c>
      <c r="M813" t="s">
        <v>261</v>
      </c>
      <c r="N813" t="s">
        <v>208</v>
      </c>
      <c r="O813" t="s">
        <v>262</v>
      </c>
      <c r="P813" t="s">
        <v>210</v>
      </c>
      <c r="Q813" t="s">
        <v>6</v>
      </c>
      <c r="R813" t="s">
        <v>359</v>
      </c>
      <c r="S813" t="s">
        <v>8</v>
      </c>
      <c r="T813" t="s">
        <v>322</v>
      </c>
      <c r="U813">
        <f>Sales_Order[[#This Row],[Quantity ordered]]*Sales_Order[[#This Row],[Price each]]</f>
        <v>3159.96</v>
      </c>
    </row>
    <row r="814" spans="1:21" x14ac:dyDescent="0.3">
      <c r="A814">
        <v>10295</v>
      </c>
      <c r="B814">
        <v>46</v>
      </c>
      <c r="C814">
        <v>84.97</v>
      </c>
      <c r="D814">
        <v>3</v>
      </c>
      <c r="E814" s="1">
        <v>38269</v>
      </c>
      <c r="F814" t="s">
        <v>0</v>
      </c>
      <c r="G814">
        <v>3</v>
      </c>
      <c r="H814">
        <v>2004</v>
      </c>
      <c r="I814" t="s">
        <v>49</v>
      </c>
      <c r="J814" t="s">
        <v>311</v>
      </c>
      <c r="K814" t="s">
        <v>263</v>
      </c>
      <c r="L814" t="s">
        <v>264</v>
      </c>
      <c r="M814" t="s">
        <v>265</v>
      </c>
      <c r="N814" t="s">
        <v>181</v>
      </c>
      <c r="O814" t="s">
        <v>266</v>
      </c>
      <c r="P814" t="s">
        <v>5</v>
      </c>
      <c r="Q814" t="s">
        <v>6</v>
      </c>
      <c r="R814" t="s">
        <v>360</v>
      </c>
      <c r="S814" t="s">
        <v>8</v>
      </c>
      <c r="T814" t="s">
        <v>361</v>
      </c>
      <c r="U814">
        <f>Sales_Order[[#This Row],[Quantity ordered]]*Sales_Order[[#This Row],[Price each]]</f>
        <v>3908.62</v>
      </c>
    </row>
    <row r="815" spans="1:21" x14ac:dyDescent="0.3">
      <c r="A815">
        <v>10339</v>
      </c>
      <c r="B815">
        <v>55</v>
      </c>
      <c r="C815">
        <v>100</v>
      </c>
      <c r="D815">
        <v>13</v>
      </c>
      <c r="E815" s="1">
        <v>38314</v>
      </c>
      <c r="F815" t="s">
        <v>0</v>
      </c>
      <c r="G815">
        <v>4</v>
      </c>
      <c r="H815">
        <v>2004</v>
      </c>
      <c r="I815" t="s">
        <v>49</v>
      </c>
      <c r="J815" t="s">
        <v>311</v>
      </c>
      <c r="K815" t="s">
        <v>220</v>
      </c>
      <c r="L815" t="s">
        <v>221</v>
      </c>
      <c r="M815" t="s">
        <v>222</v>
      </c>
      <c r="N815" t="s">
        <v>223</v>
      </c>
      <c r="O815" t="s">
        <v>224</v>
      </c>
      <c r="P815" t="s">
        <v>195</v>
      </c>
      <c r="Q815" t="s">
        <v>195</v>
      </c>
      <c r="R815" t="s">
        <v>348</v>
      </c>
      <c r="S815" t="s">
        <v>17</v>
      </c>
      <c r="T815" t="s">
        <v>334</v>
      </c>
      <c r="U815">
        <f>Sales_Order[[#This Row],[Quantity ordered]]*Sales_Order[[#This Row],[Price each]]</f>
        <v>5500</v>
      </c>
    </row>
    <row r="816" spans="1:21" x14ac:dyDescent="0.3">
      <c r="A816">
        <v>10396</v>
      </c>
      <c r="B816">
        <v>27</v>
      </c>
      <c r="C816">
        <v>83.2</v>
      </c>
      <c r="D816">
        <v>7</v>
      </c>
      <c r="E816" s="1">
        <v>38434</v>
      </c>
      <c r="F816" t="s">
        <v>0</v>
      </c>
      <c r="G816">
        <v>1</v>
      </c>
      <c r="H816">
        <v>2005</v>
      </c>
      <c r="I816" t="s">
        <v>49</v>
      </c>
      <c r="J816" t="s">
        <v>311</v>
      </c>
      <c r="K816" t="s">
        <v>225</v>
      </c>
      <c r="L816" t="s">
        <v>226</v>
      </c>
      <c r="M816" t="s">
        <v>227</v>
      </c>
      <c r="N816" t="s">
        <v>161</v>
      </c>
      <c r="O816" t="s">
        <v>177</v>
      </c>
      <c r="P816" t="s">
        <v>5</v>
      </c>
      <c r="Q816" t="s">
        <v>6</v>
      </c>
      <c r="R816" t="s">
        <v>349</v>
      </c>
      <c r="S816" t="s">
        <v>7</v>
      </c>
      <c r="T816" t="s">
        <v>338</v>
      </c>
      <c r="U816">
        <f>Sales_Order[[#This Row],[Quantity ordered]]*Sales_Order[[#This Row],[Price each]]</f>
        <v>2246.4</v>
      </c>
    </row>
    <row r="817" spans="1:21" x14ac:dyDescent="0.3">
      <c r="A817">
        <v>10414</v>
      </c>
      <c r="B817">
        <v>60</v>
      </c>
      <c r="C817">
        <v>100</v>
      </c>
      <c r="D817">
        <v>5</v>
      </c>
      <c r="E817" s="1">
        <v>38508</v>
      </c>
      <c r="F817" t="s">
        <v>275</v>
      </c>
      <c r="G817">
        <v>2</v>
      </c>
      <c r="H817">
        <v>2005</v>
      </c>
      <c r="I817" t="s">
        <v>49</v>
      </c>
      <c r="J817" t="s">
        <v>311</v>
      </c>
      <c r="K817" t="s">
        <v>263</v>
      </c>
      <c r="L817" t="s">
        <v>264</v>
      </c>
      <c r="M817" t="s">
        <v>265</v>
      </c>
      <c r="N817" t="s">
        <v>181</v>
      </c>
      <c r="O817" t="s">
        <v>266</v>
      </c>
      <c r="P817" t="s">
        <v>5</v>
      </c>
      <c r="Q817" t="s">
        <v>6</v>
      </c>
      <c r="R817" t="s">
        <v>360</v>
      </c>
      <c r="S817" t="s">
        <v>8</v>
      </c>
      <c r="T817" t="s">
        <v>329</v>
      </c>
      <c r="U817">
        <f>Sales_Order[[#This Row],[Quantity ordered]]*Sales_Order[[#This Row],[Price each]]</f>
        <v>6000</v>
      </c>
    </row>
    <row r="818" spans="1:21" x14ac:dyDescent="0.3">
      <c r="A818">
        <v>10124</v>
      </c>
      <c r="B818">
        <v>49</v>
      </c>
      <c r="C818">
        <v>83.04</v>
      </c>
      <c r="D818">
        <v>11</v>
      </c>
      <c r="E818" s="1">
        <v>37762</v>
      </c>
      <c r="F818" t="s">
        <v>0</v>
      </c>
      <c r="G818">
        <v>2</v>
      </c>
      <c r="H818">
        <v>2003</v>
      </c>
      <c r="I818" t="s">
        <v>22</v>
      </c>
      <c r="J818" t="s">
        <v>99</v>
      </c>
      <c r="K818" t="s">
        <v>290</v>
      </c>
      <c r="L818" t="s">
        <v>291</v>
      </c>
      <c r="M818" t="s">
        <v>292</v>
      </c>
      <c r="N818" t="s">
        <v>293</v>
      </c>
      <c r="O818" t="s">
        <v>294</v>
      </c>
      <c r="P818" t="s">
        <v>5</v>
      </c>
      <c r="Q818" t="s">
        <v>6</v>
      </c>
      <c r="R818" t="s">
        <v>370</v>
      </c>
      <c r="S818" t="s">
        <v>8</v>
      </c>
      <c r="T818" t="s">
        <v>329</v>
      </c>
      <c r="U818">
        <f>Sales_Order[[#This Row],[Quantity ordered]]*Sales_Order[[#This Row],[Price each]]</f>
        <v>4068.9600000000005</v>
      </c>
    </row>
    <row r="819" spans="1:21" x14ac:dyDescent="0.3">
      <c r="A819">
        <v>10148</v>
      </c>
      <c r="B819">
        <v>31</v>
      </c>
      <c r="C819">
        <v>73.62</v>
      </c>
      <c r="D819">
        <v>5</v>
      </c>
      <c r="E819" s="1">
        <v>37934</v>
      </c>
      <c r="F819" t="s">
        <v>0</v>
      </c>
      <c r="G819">
        <v>3</v>
      </c>
      <c r="H819">
        <v>2003</v>
      </c>
      <c r="I819" t="s">
        <v>22</v>
      </c>
      <c r="J819" t="s">
        <v>99</v>
      </c>
      <c r="K819" t="s">
        <v>26</v>
      </c>
      <c r="L819" t="s">
        <v>27</v>
      </c>
      <c r="M819" t="s">
        <v>28</v>
      </c>
      <c r="N819" t="s">
        <v>21</v>
      </c>
      <c r="O819" t="s">
        <v>137</v>
      </c>
      <c r="P819" t="s">
        <v>13</v>
      </c>
      <c r="Q819" t="s">
        <v>14</v>
      </c>
      <c r="R819" t="s">
        <v>352</v>
      </c>
      <c r="S819" t="s">
        <v>7</v>
      </c>
      <c r="T819" t="s">
        <v>361</v>
      </c>
      <c r="U819">
        <f>Sales_Order[[#This Row],[Quantity ordered]]*Sales_Order[[#This Row],[Price each]]</f>
        <v>2282.2200000000003</v>
      </c>
    </row>
    <row r="820" spans="1:21" x14ac:dyDescent="0.3">
      <c r="A820">
        <v>10172</v>
      </c>
      <c r="B820">
        <v>24</v>
      </c>
      <c r="C820">
        <v>81.33</v>
      </c>
      <c r="D820">
        <v>2</v>
      </c>
      <c r="E820" s="1">
        <v>37752</v>
      </c>
      <c r="F820" t="s">
        <v>0</v>
      </c>
      <c r="G820">
        <v>4</v>
      </c>
      <c r="H820">
        <v>2003</v>
      </c>
      <c r="I820" t="s">
        <v>22</v>
      </c>
      <c r="J820" t="s">
        <v>99</v>
      </c>
      <c r="K820" t="s">
        <v>173</v>
      </c>
      <c r="L820" t="s">
        <v>174</v>
      </c>
      <c r="M820" t="s">
        <v>175</v>
      </c>
      <c r="N820" t="s">
        <v>176</v>
      </c>
      <c r="O820" t="s">
        <v>177</v>
      </c>
      <c r="P820" t="s">
        <v>5</v>
      </c>
      <c r="Q820" t="s">
        <v>6</v>
      </c>
      <c r="R820" t="s">
        <v>330</v>
      </c>
      <c r="S820" t="s">
        <v>7</v>
      </c>
      <c r="T820" t="s">
        <v>334</v>
      </c>
      <c r="U820">
        <f>Sales_Order[[#This Row],[Quantity ordered]]*Sales_Order[[#This Row],[Price each]]</f>
        <v>1951.92</v>
      </c>
    </row>
    <row r="821" spans="1:21" x14ac:dyDescent="0.3">
      <c r="A821">
        <v>10182</v>
      </c>
      <c r="B821">
        <v>33</v>
      </c>
      <c r="C821">
        <v>94.17</v>
      </c>
      <c r="D821">
        <v>15</v>
      </c>
      <c r="E821" s="1">
        <v>37966</v>
      </c>
      <c r="F821" t="s">
        <v>0</v>
      </c>
      <c r="G821">
        <v>4</v>
      </c>
      <c r="H821">
        <v>2003</v>
      </c>
      <c r="I821" t="s">
        <v>22</v>
      </c>
      <c r="J821" t="s">
        <v>99</v>
      </c>
      <c r="K821" t="s">
        <v>225</v>
      </c>
      <c r="L821" t="s">
        <v>226</v>
      </c>
      <c r="M821" t="s">
        <v>227</v>
      </c>
      <c r="N821" t="s">
        <v>161</v>
      </c>
      <c r="O821" t="s">
        <v>177</v>
      </c>
      <c r="P821" t="s">
        <v>5</v>
      </c>
      <c r="Q821" t="s">
        <v>6</v>
      </c>
      <c r="R821" t="s">
        <v>349</v>
      </c>
      <c r="S821" t="s">
        <v>8</v>
      </c>
      <c r="T821" t="s">
        <v>334</v>
      </c>
      <c r="U821">
        <f>Sales_Order[[#This Row],[Quantity ordered]]*Sales_Order[[#This Row],[Price each]]</f>
        <v>3107.61</v>
      </c>
    </row>
    <row r="822" spans="1:21" x14ac:dyDescent="0.3">
      <c r="A822">
        <v>10192</v>
      </c>
      <c r="B822">
        <v>32</v>
      </c>
      <c r="C822">
        <v>72.77</v>
      </c>
      <c r="D822">
        <v>3</v>
      </c>
      <c r="E822" s="1">
        <v>37945</v>
      </c>
      <c r="F822" t="s">
        <v>0</v>
      </c>
      <c r="G822">
        <v>4</v>
      </c>
      <c r="H822">
        <v>2003</v>
      </c>
      <c r="I822" t="s">
        <v>22</v>
      </c>
      <c r="J822" t="s">
        <v>99</v>
      </c>
      <c r="K822" t="s">
        <v>228</v>
      </c>
      <c r="L822" t="s">
        <v>229</v>
      </c>
      <c r="M822" t="s">
        <v>230</v>
      </c>
      <c r="N822" t="s">
        <v>231</v>
      </c>
      <c r="O822" t="s">
        <v>232</v>
      </c>
      <c r="P822" t="s">
        <v>5</v>
      </c>
      <c r="Q822" t="s">
        <v>6</v>
      </c>
      <c r="R822" t="s">
        <v>350</v>
      </c>
      <c r="S822" t="s">
        <v>7</v>
      </c>
      <c r="T822" t="s">
        <v>334</v>
      </c>
      <c r="U822">
        <f>Sales_Order[[#This Row],[Quantity ordered]]*Sales_Order[[#This Row],[Price each]]</f>
        <v>2328.64</v>
      </c>
    </row>
    <row r="823" spans="1:21" x14ac:dyDescent="0.3">
      <c r="A823">
        <v>10204</v>
      </c>
      <c r="B823">
        <v>40</v>
      </c>
      <c r="C823">
        <v>79.62</v>
      </c>
      <c r="D823">
        <v>9</v>
      </c>
      <c r="E823" s="1">
        <v>37664</v>
      </c>
      <c r="F823" t="s">
        <v>0</v>
      </c>
      <c r="G823">
        <v>4</v>
      </c>
      <c r="H823">
        <v>2003</v>
      </c>
      <c r="I823" t="s">
        <v>22</v>
      </c>
      <c r="J823" t="s">
        <v>99</v>
      </c>
      <c r="K823" t="s">
        <v>36</v>
      </c>
      <c r="L823" t="s">
        <v>37</v>
      </c>
      <c r="M823" t="s">
        <v>3</v>
      </c>
      <c r="N823" t="s">
        <v>4</v>
      </c>
      <c r="O823" t="s">
        <v>135</v>
      </c>
      <c r="P823" t="s">
        <v>5</v>
      </c>
      <c r="Q823" t="s">
        <v>6</v>
      </c>
      <c r="R823" t="s">
        <v>366</v>
      </c>
      <c r="S823" t="s">
        <v>8</v>
      </c>
      <c r="T823" t="s">
        <v>336</v>
      </c>
      <c r="U823">
        <f>Sales_Order[[#This Row],[Quantity ordered]]*Sales_Order[[#This Row],[Price each]]</f>
        <v>3184.8</v>
      </c>
    </row>
    <row r="824" spans="1:21" x14ac:dyDescent="0.3">
      <c r="A824">
        <v>10267</v>
      </c>
      <c r="B824">
        <v>44</v>
      </c>
      <c r="C824">
        <v>96.74</v>
      </c>
      <c r="D824">
        <v>4</v>
      </c>
      <c r="E824" s="1">
        <v>38175</v>
      </c>
      <c r="F824" t="s">
        <v>0</v>
      </c>
      <c r="G824">
        <v>3</v>
      </c>
      <c r="H824">
        <v>2004</v>
      </c>
      <c r="I824" t="s">
        <v>22</v>
      </c>
      <c r="J824" t="s">
        <v>99</v>
      </c>
      <c r="K824" t="s">
        <v>36</v>
      </c>
      <c r="L824" t="s">
        <v>37</v>
      </c>
      <c r="M824" t="s">
        <v>3</v>
      </c>
      <c r="N824" t="s">
        <v>4</v>
      </c>
      <c r="O824" t="s">
        <v>135</v>
      </c>
      <c r="P824" t="s">
        <v>5</v>
      </c>
      <c r="Q824" t="s">
        <v>6</v>
      </c>
      <c r="R824" t="s">
        <v>366</v>
      </c>
      <c r="S824" t="s">
        <v>8</v>
      </c>
      <c r="T824" t="s">
        <v>339</v>
      </c>
      <c r="U824">
        <f>Sales_Order[[#This Row],[Quantity ordered]]*Sales_Order[[#This Row],[Price each]]</f>
        <v>4256.5599999999995</v>
      </c>
    </row>
    <row r="825" spans="1:21" x14ac:dyDescent="0.3">
      <c r="A825">
        <v>10321</v>
      </c>
      <c r="B825">
        <v>39</v>
      </c>
      <c r="C825">
        <v>84.75</v>
      </c>
      <c r="D825">
        <v>2</v>
      </c>
      <c r="E825" s="1">
        <v>38088</v>
      </c>
      <c r="F825" t="s">
        <v>0</v>
      </c>
      <c r="G825">
        <v>4</v>
      </c>
      <c r="H825">
        <v>2004</v>
      </c>
      <c r="I825" t="s">
        <v>22</v>
      </c>
      <c r="J825" t="s">
        <v>99</v>
      </c>
      <c r="K825" t="s">
        <v>189</v>
      </c>
      <c r="L825" t="s">
        <v>190</v>
      </c>
      <c r="M825" t="s">
        <v>191</v>
      </c>
      <c r="N825" t="s">
        <v>181</v>
      </c>
      <c r="O825" t="s">
        <v>192</v>
      </c>
      <c r="P825" t="s">
        <v>5</v>
      </c>
      <c r="Q825" t="s">
        <v>6</v>
      </c>
      <c r="R825" t="s">
        <v>337</v>
      </c>
      <c r="S825" t="s">
        <v>8</v>
      </c>
      <c r="T825" t="s">
        <v>334</v>
      </c>
      <c r="U825">
        <f>Sales_Order[[#This Row],[Quantity ordered]]*Sales_Order[[#This Row],[Price each]]</f>
        <v>3305.25</v>
      </c>
    </row>
    <row r="826" spans="1:21" x14ac:dyDescent="0.3">
      <c r="A826">
        <v>10346</v>
      </c>
      <c r="B826">
        <v>24</v>
      </c>
      <c r="C826">
        <v>100</v>
      </c>
      <c r="D826">
        <v>2</v>
      </c>
      <c r="E826" s="1">
        <v>38320</v>
      </c>
      <c r="F826" t="s">
        <v>0</v>
      </c>
      <c r="G826">
        <v>4</v>
      </c>
      <c r="H826">
        <v>2004</v>
      </c>
      <c r="I826" t="s">
        <v>22</v>
      </c>
      <c r="J826" t="s">
        <v>99</v>
      </c>
      <c r="K826" t="s">
        <v>290</v>
      </c>
      <c r="L826" t="s">
        <v>291</v>
      </c>
      <c r="M826" t="s">
        <v>292</v>
      </c>
      <c r="N826" t="s">
        <v>293</v>
      </c>
      <c r="O826" t="s">
        <v>294</v>
      </c>
      <c r="P826" t="s">
        <v>5</v>
      </c>
      <c r="Q826" t="s">
        <v>6</v>
      </c>
      <c r="R826" t="s">
        <v>370</v>
      </c>
      <c r="S826" t="s">
        <v>8</v>
      </c>
      <c r="T826" t="s">
        <v>334</v>
      </c>
      <c r="U826">
        <f>Sales_Order[[#This Row],[Quantity ordered]]*Sales_Order[[#This Row],[Price each]]</f>
        <v>2400</v>
      </c>
    </row>
    <row r="827" spans="1:21" x14ac:dyDescent="0.3">
      <c r="A827">
        <v>10368</v>
      </c>
      <c r="B827">
        <v>46</v>
      </c>
      <c r="C827">
        <v>79.62</v>
      </c>
      <c r="D827">
        <v>1</v>
      </c>
      <c r="E827" s="1">
        <v>38371</v>
      </c>
      <c r="F827" t="s">
        <v>0</v>
      </c>
      <c r="G827">
        <v>1</v>
      </c>
      <c r="H827">
        <v>2005</v>
      </c>
      <c r="I827" t="s">
        <v>22</v>
      </c>
      <c r="J827" t="s">
        <v>99</v>
      </c>
      <c r="K827" t="s">
        <v>225</v>
      </c>
      <c r="L827" t="s">
        <v>226</v>
      </c>
      <c r="M827" t="s">
        <v>227</v>
      </c>
      <c r="N827" t="s">
        <v>161</v>
      </c>
      <c r="O827" t="s">
        <v>177</v>
      </c>
      <c r="P827" t="s">
        <v>5</v>
      </c>
      <c r="Q827" t="s">
        <v>6</v>
      </c>
      <c r="R827" t="s">
        <v>349</v>
      </c>
      <c r="S827" t="s">
        <v>8</v>
      </c>
      <c r="T827" t="s">
        <v>345</v>
      </c>
      <c r="U827">
        <f>Sales_Order[[#This Row],[Quantity ordered]]*Sales_Order[[#This Row],[Price each]]</f>
        <v>3662.5200000000004</v>
      </c>
    </row>
    <row r="828" spans="1:21" x14ac:dyDescent="0.3">
      <c r="A828">
        <v>10407</v>
      </c>
      <c r="B828">
        <v>13</v>
      </c>
      <c r="C828">
        <v>81.33</v>
      </c>
      <c r="D828">
        <v>7</v>
      </c>
      <c r="E828" s="1">
        <v>38464</v>
      </c>
      <c r="F828" t="s">
        <v>275</v>
      </c>
      <c r="G828">
        <v>2</v>
      </c>
      <c r="H828">
        <v>2005</v>
      </c>
      <c r="I828" t="s">
        <v>22</v>
      </c>
      <c r="J828" t="s">
        <v>99</v>
      </c>
      <c r="K828" t="s">
        <v>272</v>
      </c>
      <c r="L828" t="s">
        <v>273</v>
      </c>
      <c r="M828" t="s">
        <v>274</v>
      </c>
      <c r="N828" t="s">
        <v>161</v>
      </c>
      <c r="O828" t="s">
        <v>166</v>
      </c>
      <c r="P828" t="s">
        <v>5</v>
      </c>
      <c r="Q828" t="s">
        <v>6</v>
      </c>
      <c r="R828" t="s">
        <v>363</v>
      </c>
      <c r="S828" t="s">
        <v>7</v>
      </c>
      <c r="T828" t="s">
        <v>327</v>
      </c>
      <c r="U828">
        <f>Sales_Order[[#This Row],[Quantity ordered]]*Sales_Order[[#This Row],[Price each]]</f>
        <v>1057.29</v>
      </c>
    </row>
    <row r="829" spans="1:21" x14ac:dyDescent="0.3">
      <c r="A829">
        <v>10420</v>
      </c>
      <c r="B829">
        <v>35</v>
      </c>
      <c r="C829">
        <v>96.74</v>
      </c>
      <c r="D829">
        <v>10</v>
      </c>
      <c r="E829" s="1">
        <v>38501</v>
      </c>
      <c r="F829" t="s">
        <v>29</v>
      </c>
      <c r="G829">
        <v>2</v>
      </c>
      <c r="H829">
        <v>2005</v>
      </c>
      <c r="I829" t="s">
        <v>22</v>
      </c>
      <c r="J829" t="s">
        <v>99</v>
      </c>
      <c r="K829" t="s">
        <v>18</v>
      </c>
      <c r="L829" t="s">
        <v>19</v>
      </c>
      <c r="M829" t="s">
        <v>20</v>
      </c>
      <c r="N829" t="s">
        <v>21</v>
      </c>
      <c r="O829" t="s">
        <v>136</v>
      </c>
      <c r="P829" t="s">
        <v>13</v>
      </c>
      <c r="Q829" t="s">
        <v>14</v>
      </c>
      <c r="R829" t="s">
        <v>335</v>
      </c>
      <c r="S829" t="s">
        <v>8</v>
      </c>
      <c r="T829" t="s">
        <v>329</v>
      </c>
      <c r="U829">
        <f>Sales_Order[[#This Row],[Quantity ordered]]*Sales_Order[[#This Row],[Price each]]</f>
        <v>3385.8999999999996</v>
      </c>
    </row>
    <row r="830" spans="1:21" x14ac:dyDescent="0.3">
      <c r="A830">
        <v>10135</v>
      </c>
      <c r="B830">
        <v>27</v>
      </c>
      <c r="C830">
        <v>66.13</v>
      </c>
      <c r="D830">
        <v>6</v>
      </c>
      <c r="E830" s="1">
        <v>37659</v>
      </c>
      <c r="F830" t="s">
        <v>0</v>
      </c>
      <c r="G830">
        <v>3</v>
      </c>
      <c r="H830">
        <v>2003</v>
      </c>
      <c r="I830" t="s">
        <v>22</v>
      </c>
      <c r="J830" t="s">
        <v>100</v>
      </c>
      <c r="K830" t="s">
        <v>225</v>
      </c>
      <c r="L830" t="s">
        <v>226</v>
      </c>
      <c r="M830" t="s">
        <v>227</v>
      </c>
      <c r="N830" t="s">
        <v>161</v>
      </c>
      <c r="O830" t="s">
        <v>177</v>
      </c>
      <c r="P830" t="s">
        <v>5</v>
      </c>
      <c r="Q830" t="s">
        <v>6</v>
      </c>
      <c r="R830" t="s">
        <v>349</v>
      </c>
      <c r="S830" t="s">
        <v>7</v>
      </c>
      <c r="T830" t="s">
        <v>339</v>
      </c>
      <c r="U830">
        <f>Sales_Order[[#This Row],[Quantity ordered]]*Sales_Order[[#This Row],[Price each]]</f>
        <v>1785.5099999999998</v>
      </c>
    </row>
    <row r="831" spans="1:21" x14ac:dyDescent="0.3">
      <c r="A831">
        <v>10147</v>
      </c>
      <c r="B831">
        <v>30</v>
      </c>
      <c r="C831">
        <v>68.58</v>
      </c>
      <c r="D831">
        <v>6</v>
      </c>
      <c r="E831" s="1">
        <v>37750</v>
      </c>
      <c r="F831" t="s">
        <v>0</v>
      </c>
      <c r="G831">
        <v>3</v>
      </c>
      <c r="H831">
        <v>2003</v>
      </c>
      <c r="I831" t="s">
        <v>22</v>
      </c>
      <c r="J831" t="s">
        <v>100</v>
      </c>
      <c r="K831" t="s">
        <v>233</v>
      </c>
      <c r="L831" t="s">
        <v>234</v>
      </c>
      <c r="M831" t="s">
        <v>235</v>
      </c>
      <c r="N831" t="s">
        <v>181</v>
      </c>
      <c r="O831" t="s">
        <v>236</v>
      </c>
      <c r="P831" t="s">
        <v>5</v>
      </c>
      <c r="Q831" t="s">
        <v>6</v>
      </c>
      <c r="R831" t="s">
        <v>351</v>
      </c>
      <c r="S831" t="s">
        <v>7</v>
      </c>
      <c r="T831" t="s">
        <v>361</v>
      </c>
      <c r="U831">
        <f>Sales_Order[[#This Row],[Quantity ordered]]*Sales_Order[[#This Row],[Price each]]</f>
        <v>2057.4</v>
      </c>
    </row>
    <row r="832" spans="1:21" x14ac:dyDescent="0.3">
      <c r="A832">
        <v>10169</v>
      </c>
      <c r="B832">
        <v>34</v>
      </c>
      <c r="C832">
        <v>50.21</v>
      </c>
      <c r="D832">
        <v>1</v>
      </c>
      <c r="E832" s="1">
        <v>37722</v>
      </c>
      <c r="F832" t="s">
        <v>0</v>
      </c>
      <c r="G832">
        <v>4</v>
      </c>
      <c r="H832">
        <v>2003</v>
      </c>
      <c r="I832" t="s">
        <v>22</v>
      </c>
      <c r="J832" t="s">
        <v>100</v>
      </c>
      <c r="K832" t="s">
        <v>26</v>
      </c>
      <c r="L832" t="s">
        <v>27</v>
      </c>
      <c r="M832" t="s">
        <v>28</v>
      </c>
      <c r="N832" t="s">
        <v>21</v>
      </c>
      <c r="O832" t="s">
        <v>137</v>
      </c>
      <c r="P832" t="s">
        <v>13</v>
      </c>
      <c r="Q832" t="s">
        <v>14</v>
      </c>
      <c r="R832" t="s">
        <v>352</v>
      </c>
      <c r="S832" t="s">
        <v>7</v>
      </c>
      <c r="T832" t="s">
        <v>334</v>
      </c>
      <c r="U832">
        <f>Sales_Order[[#This Row],[Quantity ordered]]*Sales_Order[[#This Row],[Price each]]</f>
        <v>1707.14</v>
      </c>
    </row>
    <row r="833" spans="1:21" x14ac:dyDescent="0.3">
      <c r="A833">
        <v>10276</v>
      </c>
      <c r="B833">
        <v>20</v>
      </c>
      <c r="C833">
        <v>61.23</v>
      </c>
      <c r="D833">
        <v>2</v>
      </c>
      <c r="E833" s="1">
        <v>38025</v>
      </c>
      <c r="F833" t="s">
        <v>0</v>
      </c>
      <c r="G833">
        <v>3</v>
      </c>
      <c r="H833">
        <v>2004</v>
      </c>
      <c r="I833" t="s">
        <v>22</v>
      </c>
      <c r="J833" t="s">
        <v>100</v>
      </c>
      <c r="K833" t="s">
        <v>279</v>
      </c>
      <c r="L833" t="s">
        <v>280</v>
      </c>
      <c r="M833" t="s">
        <v>235</v>
      </c>
      <c r="N833" t="s">
        <v>181</v>
      </c>
      <c r="O833" t="s">
        <v>236</v>
      </c>
      <c r="P833" t="s">
        <v>5</v>
      </c>
      <c r="Q833" t="s">
        <v>6</v>
      </c>
      <c r="R833" t="s">
        <v>365</v>
      </c>
      <c r="S833" t="s">
        <v>7</v>
      </c>
      <c r="T833" t="s">
        <v>322</v>
      </c>
      <c r="U833">
        <f>Sales_Order[[#This Row],[Quantity ordered]]*Sales_Order[[#This Row],[Price each]]</f>
        <v>1224.5999999999999</v>
      </c>
    </row>
    <row r="834" spans="1:21" x14ac:dyDescent="0.3">
      <c r="A834">
        <v>10331</v>
      </c>
      <c r="B834">
        <v>25</v>
      </c>
      <c r="C834">
        <v>100</v>
      </c>
      <c r="D834">
        <v>9</v>
      </c>
      <c r="E834" s="1">
        <v>38308</v>
      </c>
      <c r="F834" t="s">
        <v>0</v>
      </c>
      <c r="G834">
        <v>4</v>
      </c>
      <c r="H834">
        <v>2004</v>
      </c>
      <c r="I834" t="s">
        <v>22</v>
      </c>
      <c r="J834" t="s">
        <v>100</v>
      </c>
      <c r="K834" t="s">
        <v>246</v>
      </c>
      <c r="L834" t="s">
        <v>247</v>
      </c>
      <c r="M834" t="s">
        <v>203</v>
      </c>
      <c r="N834" t="s">
        <v>186</v>
      </c>
      <c r="O834" t="s">
        <v>204</v>
      </c>
      <c r="P834" t="s">
        <v>5</v>
      </c>
      <c r="Q834" t="s">
        <v>6</v>
      </c>
      <c r="R834" t="s">
        <v>355</v>
      </c>
      <c r="S834" t="s">
        <v>8</v>
      </c>
      <c r="T834" t="s">
        <v>334</v>
      </c>
      <c r="U834">
        <f>Sales_Order[[#This Row],[Quantity ordered]]*Sales_Order[[#This Row],[Price each]]</f>
        <v>2500</v>
      </c>
    </row>
    <row r="835" spans="1:21" x14ac:dyDescent="0.3">
      <c r="A835">
        <v>10342</v>
      </c>
      <c r="B835">
        <v>48</v>
      </c>
      <c r="C835">
        <v>62.45</v>
      </c>
      <c r="D835">
        <v>10</v>
      </c>
      <c r="E835" s="1">
        <v>38315</v>
      </c>
      <c r="F835" t="s">
        <v>0</v>
      </c>
      <c r="G835">
        <v>4</v>
      </c>
      <c r="H835">
        <v>2004</v>
      </c>
      <c r="I835" t="s">
        <v>22</v>
      </c>
      <c r="J835" t="s">
        <v>100</v>
      </c>
      <c r="K835" t="s">
        <v>9</v>
      </c>
      <c r="L835" t="s">
        <v>10</v>
      </c>
      <c r="M835" t="s">
        <v>11</v>
      </c>
      <c r="N835" t="s">
        <v>12</v>
      </c>
      <c r="O835" t="s">
        <v>134</v>
      </c>
      <c r="P835" t="s">
        <v>13</v>
      </c>
      <c r="Q835" t="s">
        <v>14</v>
      </c>
      <c r="R835" t="s">
        <v>325</v>
      </c>
      <c r="S835" t="s">
        <v>7</v>
      </c>
      <c r="T835" t="s">
        <v>334</v>
      </c>
      <c r="U835">
        <f>Sales_Order[[#This Row],[Quantity ordered]]*Sales_Order[[#This Row],[Price each]]</f>
        <v>2997.6000000000004</v>
      </c>
    </row>
    <row r="836" spans="1:21" x14ac:dyDescent="0.3">
      <c r="A836">
        <v>10390</v>
      </c>
      <c r="B836">
        <v>46</v>
      </c>
      <c r="C836">
        <v>52.84</v>
      </c>
      <c r="D836">
        <v>6</v>
      </c>
      <c r="E836" s="1">
        <v>38445</v>
      </c>
      <c r="F836" t="s">
        <v>0</v>
      </c>
      <c r="G836">
        <v>1</v>
      </c>
      <c r="H836">
        <v>2005</v>
      </c>
      <c r="I836" t="s">
        <v>22</v>
      </c>
      <c r="J836" t="s">
        <v>100</v>
      </c>
      <c r="K836" t="s">
        <v>225</v>
      </c>
      <c r="L836" t="s">
        <v>226</v>
      </c>
      <c r="M836" t="s">
        <v>227</v>
      </c>
      <c r="N836" t="s">
        <v>161</v>
      </c>
      <c r="O836" t="s">
        <v>177</v>
      </c>
      <c r="P836" t="s">
        <v>5</v>
      </c>
      <c r="Q836" t="s">
        <v>6</v>
      </c>
      <c r="R836" t="s">
        <v>349</v>
      </c>
      <c r="S836" t="s">
        <v>7</v>
      </c>
      <c r="T836" t="s">
        <v>338</v>
      </c>
      <c r="U836">
        <f>Sales_Order[[#This Row],[Quantity ordered]]*Sales_Order[[#This Row],[Price each]]</f>
        <v>2430.6400000000003</v>
      </c>
    </row>
    <row r="837" spans="1:21" x14ac:dyDescent="0.3">
      <c r="A837">
        <v>10131</v>
      </c>
      <c r="B837">
        <v>29</v>
      </c>
      <c r="C837">
        <v>59.18</v>
      </c>
      <c r="D837">
        <v>6</v>
      </c>
      <c r="E837" s="1">
        <v>37788</v>
      </c>
      <c r="F837" t="s">
        <v>0</v>
      </c>
      <c r="G837">
        <v>2</v>
      </c>
      <c r="H837">
        <v>2003</v>
      </c>
      <c r="I837" t="s">
        <v>49</v>
      </c>
      <c r="J837" t="s">
        <v>101</v>
      </c>
      <c r="K837" t="s">
        <v>301</v>
      </c>
      <c r="L837" t="s">
        <v>302</v>
      </c>
      <c r="M837" t="s">
        <v>284</v>
      </c>
      <c r="N837" t="s">
        <v>176</v>
      </c>
      <c r="O837" t="s">
        <v>303</v>
      </c>
      <c r="P837" t="s">
        <v>5</v>
      </c>
      <c r="Q837" t="s">
        <v>6</v>
      </c>
      <c r="R837" t="s">
        <v>372</v>
      </c>
      <c r="S837" t="s">
        <v>7</v>
      </c>
      <c r="T837" t="s">
        <v>331</v>
      </c>
      <c r="U837">
        <f>Sales_Order[[#This Row],[Quantity ordered]]*Sales_Order[[#This Row],[Price each]]</f>
        <v>1716.22</v>
      </c>
    </row>
    <row r="838" spans="1:21" x14ac:dyDescent="0.3">
      <c r="A838">
        <v>10143</v>
      </c>
      <c r="B838">
        <v>33</v>
      </c>
      <c r="C838">
        <v>77.59</v>
      </c>
      <c r="D838">
        <v>9</v>
      </c>
      <c r="E838" s="1">
        <v>37902</v>
      </c>
      <c r="F838" t="s">
        <v>0</v>
      </c>
      <c r="G838">
        <v>3</v>
      </c>
      <c r="H838">
        <v>2003</v>
      </c>
      <c r="I838" t="s">
        <v>49</v>
      </c>
      <c r="J838" t="s">
        <v>101</v>
      </c>
      <c r="K838" t="s">
        <v>252</v>
      </c>
      <c r="L838" t="s">
        <v>253</v>
      </c>
      <c r="M838" t="s">
        <v>191</v>
      </c>
      <c r="N838" t="s">
        <v>181</v>
      </c>
      <c r="O838" t="s">
        <v>192</v>
      </c>
      <c r="P838" t="s">
        <v>5</v>
      </c>
      <c r="Q838" t="s">
        <v>6</v>
      </c>
      <c r="R838" t="s">
        <v>357</v>
      </c>
      <c r="S838" t="s">
        <v>7</v>
      </c>
      <c r="T838" t="s">
        <v>322</v>
      </c>
      <c r="U838">
        <f>Sales_Order[[#This Row],[Quantity ordered]]*Sales_Order[[#This Row],[Price each]]</f>
        <v>2560.4700000000003</v>
      </c>
    </row>
    <row r="839" spans="1:21" x14ac:dyDescent="0.3">
      <c r="A839">
        <v>10222</v>
      </c>
      <c r="B839">
        <v>43</v>
      </c>
      <c r="C839">
        <v>70.349999999999994</v>
      </c>
      <c r="D839">
        <v>6</v>
      </c>
      <c r="E839" s="1">
        <v>38036</v>
      </c>
      <c r="F839" t="s">
        <v>0</v>
      </c>
      <c r="G839">
        <v>1</v>
      </c>
      <c r="H839">
        <v>2004</v>
      </c>
      <c r="I839" t="s">
        <v>49</v>
      </c>
      <c r="J839" t="s">
        <v>101</v>
      </c>
      <c r="K839" t="s">
        <v>255</v>
      </c>
      <c r="L839" t="s">
        <v>256</v>
      </c>
      <c r="M839" t="s">
        <v>257</v>
      </c>
      <c r="N839" t="s">
        <v>161</v>
      </c>
      <c r="O839" t="s">
        <v>258</v>
      </c>
      <c r="P839" t="s">
        <v>5</v>
      </c>
      <c r="Q839" t="s">
        <v>6</v>
      </c>
      <c r="R839" t="s">
        <v>358</v>
      </c>
      <c r="S839" t="s">
        <v>8</v>
      </c>
      <c r="T839" t="s">
        <v>320</v>
      </c>
      <c r="U839">
        <f>Sales_Order[[#This Row],[Quantity ordered]]*Sales_Order[[#This Row],[Price each]]</f>
        <v>3025.0499999999997</v>
      </c>
    </row>
    <row r="840" spans="1:21" x14ac:dyDescent="0.3">
      <c r="A840">
        <v>10249</v>
      </c>
      <c r="B840">
        <v>25</v>
      </c>
      <c r="C840">
        <v>69.7</v>
      </c>
      <c r="D840">
        <v>2</v>
      </c>
      <c r="E840" s="1">
        <v>38204</v>
      </c>
      <c r="F840" t="s">
        <v>0</v>
      </c>
      <c r="G840">
        <v>2</v>
      </c>
      <c r="H840">
        <v>2004</v>
      </c>
      <c r="I840" t="s">
        <v>49</v>
      </c>
      <c r="J840" t="s">
        <v>101</v>
      </c>
      <c r="K840" t="s">
        <v>214</v>
      </c>
      <c r="L840" t="s">
        <v>215</v>
      </c>
      <c r="M840" t="s">
        <v>180</v>
      </c>
      <c r="N840" t="s">
        <v>181</v>
      </c>
      <c r="O840" t="s">
        <v>182</v>
      </c>
      <c r="P840" t="s">
        <v>5</v>
      </c>
      <c r="Q840" t="s">
        <v>6</v>
      </c>
      <c r="R840" t="s">
        <v>346</v>
      </c>
      <c r="S840" t="s">
        <v>7</v>
      </c>
      <c r="T840" t="s">
        <v>329</v>
      </c>
      <c r="U840">
        <f>Sales_Order[[#This Row],[Quantity ordered]]*Sales_Order[[#This Row],[Price each]]</f>
        <v>1742.5</v>
      </c>
    </row>
    <row r="841" spans="1:21" x14ac:dyDescent="0.3">
      <c r="A841">
        <v>10274</v>
      </c>
      <c r="B841">
        <v>24</v>
      </c>
      <c r="C841">
        <v>72.33</v>
      </c>
      <c r="D841">
        <v>3</v>
      </c>
      <c r="E841" s="1">
        <v>38189</v>
      </c>
      <c r="F841" t="s">
        <v>0</v>
      </c>
      <c r="G841">
        <v>3</v>
      </c>
      <c r="H841">
        <v>2004</v>
      </c>
      <c r="I841" t="s">
        <v>49</v>
      </c>
      <c r="J841" t="s">
        <v>101</v>
      </c>
      <c r="K841" t="s">
        <v>233</v>
      </c>
      <c r="L841" t="s">
        <v>234</v>
      </c>
      <c r="M841" t="s">
        <v>235</v>
      </c>
      <c r="N841" t="s">
        <v>181</v>
      </c>
      <c r="O841" t="s">
        <v>236</v>
      </c>
      <c r="P841" t="s">
        <v>5</v>
      </c>
      <c r="Q841" t="s">
        <v>6</v>
      </c>
      <c r="R841" t="s">
        <v>351</v>
      </c>
      <c r="S841" t="s">
        <v>7</v>
      </c>
      <c r="T841" t="s">
        <v>339</v>
      </c>
      <c r="U841">
        <f>Sales_Order[[#This Row],[Quantity ordered]]*Sales_Order[[#This Row],[Price each]]</f>
        <v>1735.92</v>
      </c>
    </row>
    <row r="842" spans="1:21" x14ac:dyDescent="0.3">
      <c r="A842">
        <v>10307</v>
      </c>
      <c r="B842">
        <v>22</v>
      </c>
      <c r="C842">
        <v>71.67</v>
      </c>
      <c r="D842">
        <v>3</v>
      </c>
      <c r="E842" s="1">
        <v>38274</v>
      </c>
      <c r="F842" t="s">
        <v>0</v>
      </c>
      <c r="G842">
        <v>4</v>
      </c>
      <c r="H842">
        <v>2004</v>
      </c>
      <c r="I842" t="s">
        <v>49</v>
      </c>
      <c r="J842" t="s">
        <v>101</v>
      </c>
      <c r="K842" t="s">
        <v>201</v>
      </c>
      <c r="L842" t="s">
        <v>202</v>
      </c>
      <c r="M842" t="s">
        <v>203</v>
      </c>
      <c r="N842" t="s">
        <v>186</v>
      </c>
      <c r="O842" t="s">
        <v>204</v>
      </c>
      <c r="P842" t="s">
        <v>5</v>
      </c>
      <c r="Q842" t="s">
        <v>6</v>
      </c>
      <c r="R842" t="s">
        <v>342</v>
      </c>
      <c r="S842" t="s">
        <v>7</v>
      </c>
      <c r="T842" t="s">
        <v>324</v>
      </c>
      <c r="U842">
        <f>Sales_Order[[#This Row],[Quantity ordered]]*Sales_Order[[#This Row],[Price each]]</f>
        <v>1576.74</v>
      </c>
    </row>
    <row r="843" spans="1:21" x14ac:dyDescent="0.3">
      <c r="A843">
        <v>10316</v>
      </c>
      <c r="B843">
        <v>47</v>
      </c>
      <c r="C843">
        <v>76.930000000000007</v>
      </c>
      <c r="D843">
        <v>11</v>
      </c>
      <c r="E843" s="1">
        <v>37997</v>
      </c>
      <c r="F843" t="s">
        <v>0</v>
      </c>
      <c r="G843">
        <v>4</v>
      </c>
      <c r="H843">
        <v>2004</v>
      </c>
      <c r="I843" t="s">
        <v>49</v>
      </c>
      <c r="J843" t="s">
        <v>101</v>
      </c>
      <c r="K843" t="s">
        <v>267</v>
      </c>
      <c r="L843" t="s">
        <v>268</v>
      </c>
      <c r="M843" t="s">
        <v>269</v>
      </c>
      <c r="N843" t="s">
        <v>270</v>
      </c>
      <c r="O843" t="s">
        <v>271</v>
      </c>
      <c r="P843" t="s">
        <v>193</v>
      </c>
      <c r="Q843" t="s">
        <v>157</v>
      </c>
      <c r="R843" t="s">
        <v>362</v>
      </c>
      <c r="S843" t="s">
        <v>8</v>
      </c>
      <c r="T843" t="s">
        <v>334</v>
      </c>
      <c r="U843">
        <f>Sales_Order[[#This Row],[Quantity ordered]]*Sales_Order[[#This Row],[Price each]]</f>
        <v>3615.7100000000005</v>
      </c>
    </row>
    <row r="844" spans="1:21" x14ac:dyDescent="0.3">
      <c r="A844">
        <v>10339</v>
      </c>
      <c r="B844">
        <v>29</v>
      </c>
      <c r="C844">
        <v>99.69</v>
      </c>
      <c r="D844">
        <v>14</v>
      </c>
      <c r="E844" s="1">
        <v>38314</v>
      </c>
      <c r="F844" t="s">
        <v>0</v>
      </c>
      <c r="G844">
        <v>4</v>
      </c>
      <c r="H844">
        <v>2004</v>
      </c>
      <c r="I844" t="s">
        <v>49</v>
      </c>
      <c r="J844" t="s">
        <v>101</v>
      </c>
      <c r="K844" t="s">
        <v>220</v>
      </c>
      <c r="L844" t="s">
        <v>221</v>
      </c>
      <c r="M844" t="s">
        <v>222</v>
      </c>
      <c r="N844" t="s">
        <v>223</v>
      </c>
      <c r="O844" t="s">
        <v>224</v>
      </c>
      <c r="P844" t="s">
        <v>195</v>
      </c>
      <c r="Q844" t="s">
        <v>195</v>
      </c>
      <c r="R844" t="s">
        <v>348</v>
      </c>
      <c r="S844" t="s">
        <v>7</v>
      </c>
      <c r="T844" t="s">
        <v>334</v>
      </c>
      <c r="U844">
        <f>Sales_Order[[#This Row],[Quantity ordered]]*Sales_Order[[#This Row],[Price each]]</f>
        <v>2891.0099999999998</v>
      </c>
    </row>
    <row r="845" spans="1:21" x14ac:dyDescent="0.3">
      <c r="A845">
        <v>10361</v>
      </c>
      <c r="B845">
        <v>34</v>
      </c>
      <c r="C845">
        <v>100</v>
      </c>
      <c r="D845">
        <v>6</v>
      </c>
      <c r="E845" s="1">
        <v>38338</v>
      </c>
      <c r="F845" t="s">
        <v>0</v>
      </c>
      <c r="G845">
        <v>4</v>
      </c>
      <c r="H845">
        <v>2004</v>
      </c>
      <c r="I845" t="s">
        <v>49</v>
      </c>
      <c r="J845" t="s">
        <v>101</v>
      </c>
      <c r="K845" t="s">
        <v>18</v>
      </c>
      <c r="L845" t="s">
        <v>19</v>
      </c>
      <c r="M845" t="s">
        <v>20</v>
      </c>
      <c r="N845" t="s">
        <v>21</v>
      </c>
      <c r="O845" t="s">
        <v>136</v>
      </c>
      <c r="P845" t="s">
        <v>13</v>
      </c>
      <c r="Q845" t="s">
        <v>14</v>
      </c>
      <c r="R845" t="s">
        <v>335</v>
      </c>
      <c r="S845" t="s">
        <v>8</v>
      </c>
      <c r="T845" t="s">
        <v>336</v>
      </c>
      <c r="U845">
        <f>Sales_Order[[#This Row],[Quantity ordered]]*Sales_Order[[#This Row],[Price each]]</f>
        <v>3400</v>
      </c>
    </row>
    <row r="846" spans="1:21" x14ac:dyDescent="0.3">
      <c r="A846">
        <v>10400</v>
      </c>
      <c r="B846">
        <v>38</v>
      </c>
      <c r="C846">
        <v>57.2</v>
      </c>
      <c r="D846">
        <v>3</v>
      </c>
      <c r="E846" s="1">
        <v>38356</v>
      </c>
      <c r="F846" t="s">
        <v>0</v>
      </c>
      <c r="G846">
        <v>2</v>
      </c>
      <c r="H846">
        <v>2005</v>
      </c>
      <c r="I846" t="s">
        <v>49</v>
      </c>
      <c r="J846" t="s">
        <v>101</v>
      </c>
      <c r="K846" t="s">
        <v>272</v>
      </c>
      <c r="L846" t="s">
        <v>273</v>
      </c>
      <c r="M846" t="s">
        <v>274</v>
      </c>
      <c r="N846" t="s">
        <v>161</v>
      </c>
      <c r="O846" t="s">
        <v>166</v>
      </c>
      <c r="P846" t="s">
        <v>5</v>
      </c>
      <c r="Q846" t="s">
        <v>6</v>
      </c>
      <c r="R846" t="s">
        <v>363</v>
      </c>
      <c r="S846" t="s">
        <v>7</v>
      </c>
      <c r="T846" t="s">
        <v>327</v>
      </c>
      <c r="U846">
        <f>Sales_Order[[#This Row],[Quantity ordered]]*Sales_Order[[#This Row],[Price each]]</f>
        <v>2173.6</v>
      </c>
    </row>
    <row r="847" spans="1:21" x14ac:dyDescent="0.3">
      <c r="A847">
        <v>10415</v>
      </c>
      <c r="B847">
        <v>18</v>
      </c>
      <c r="C847">
        <v>69.7</v>
      </c>
      <c r="D847">
        <v>2</v>
      </c>
      <c r="E847" s="1">
        <v>38600</v>
      </c>
      <c r="F847" t="s">
        <v>194</v>
      </c>
      <c r="G847">
        <v>2</v>
      </c>
      <c r="H847">
        <v>2005</v>
      </c>
      <c r="I847" t="s">
        <v>49</v>
      </c>
      <c r="J847" t="s">
        <v>101</v>
      </c>
      <c r="K847" t="s">
        <v>296</v>
      </c>
      <c r="L847" t="s">
        <v>297</v>
      </c>
      <c r="M847" t="s">
        <v>298</v>
      </c>
      <c r="N847" t="s">
        <v>12</v>
      </c>
      <c r="O847" t="s">
        <v>299</v>
      </c>
      <c r="P847" t="s">
        <v>13</v>
      </c>
      <c r="Q847" t="s">
        <v>14</v>
      </c>
      <c r="R847" t="s">
        <v>371</v>
      </c>
      <c r="S847" t="s">
        <v>7</v>
      </c>
      <c r="T847" t="s">
        <v>329</v>
      </c>
      <c r="U847">
        <f>Sales_Order[[#This Row],[Quantity ordered]]*Sales_Order[[#This Row],[Price each]]</f>
        <v>1254.6000000000001</v>
      </c>
    </row>
    <row r="848" spans="1:21" x14ac:dyDescent="0.3">
      <c r="A848">
        <v>10124</v>
      </c>
      <c r="B848">
        <v>43</v>
      </c>
      <c r="C848">
        <v>100</v>
      </c>
      <c r="D848">
        <v>13</v>
      </c>
      <c r="E848" s="1">
        <v>37762</v>
      </c>
      <c r="F848" t="s">
        <v>0</v>
      </c>
      <c r="G848">
        <v>2</v>
      </c>
      <c r="H848">
        <v>2003</v>
      </c>
      <c r="I848" t="s">
        <v>22</v>
      </c>
      <c r="J848" t="s">
        <v>102</v>
      </c>
      <c r="K848" t="s">
        <v>290</v>
      </c>
      <c r="L848" t="s">
        <v>291</v>
      </c>
      <c r="M848" t="s">
        <v>292</v>
      </c>
      <c r="N848" t="s">
        <v>293</v>
      </c>
      <c r="O848" t="s">
        <v>294</v>
      </c>
      <c r="P848" t="s">
        <v>5</v>
      </c>
      <c r="Q848" t="s">
        <v>6</v>
      </c>
      <c r="R848" t="s">
        <v>370</v>
      </c>
      <c r="S848" t="s">
        <v>8</v>
      </c>
      <c r="T848" t="s">
        <v>329</v>
      </c>
      <c r="U848">
        <f>Sales_Order[[#This Row],[Quantity ordered]]*Sales_Order[[#This Row],[Price each]]</f>
        <v>4300</v>
      </c>
    </row>
    <row r="849" spans="1:21" x14ac:dyDescent="0.3">
      <c r="A849">
        <v>10148</v>
      </c>
      <c r="B849">
        <v>27</v>
      </c>
      <c r="C849">
        <v>100</v>
      </c>
      <c r="D849">
        <v>7</v>
      </c>
      <c r="E849" s="1">
        <v>37934</v>
      </c>
      <c r="F849" t="s">
        <v>0</v>
      </c>
      <c r="G849">
        <v>3</v>
      </c>
      <c r="H849">
        <v>2003</v>
      </c>
      <c r="I849" t="s">
        <v>22</v>
      </c>
      <c r="J849" t="s">
        <v>102</v>
      </c>
      <c r="K849" t="s">
        <v>26</v>
      </c>
      <c r="L849" t="s">
        <v>27</v>
      </c>
      <c r="M849" t="s">
        <v>28</v>
      </c>
      <c r="N849" t="s">
        <v>21</v>
      </c>
      <c r="O849" t="s">
        <v>137</v>
      </c>
      <c r="P849" t="s">
        <v>13</v>
      </c>
      <c r="Q849" t="s">
        <v>14</v>
      </c>
      <c r="R849" t="s">
        <v>352</v>
      </c>
      <c r="S849" t="s">
        <v>8</v>
      </c>
      <c r="T849" t="s">
        <v>361</v>
      </c>
      <c r="U849">
        <f>Sales_Order[[#This Row],[Quantity ordered]]*Sales_Order[[#This Row],[Price each]]</f>
        <v>2700</v>
      </c>
    </row>
    <row r="850" spans="1:21" x14ac:dyDescent="0.3">
      <c r="A850">
        <v>10172</v>
      </c>
      <c r="B850">
        <v>22</v>
      </c>
      <c r="C850">
        <v>98.51</v>
      </c>
      <c r="D850">
        <v>4</v>
      </c>
      <c r="E850" s="1">
        <v>37752</v>
      </c>
      <c r="F850" t="s">
        <v>0</v>
      </c>
      <c r="G850">
        <v>4</v>
      </c>
      <c r="H850">
        <v>2003</v>
      </c>
      <c r="I850" t="s">
        <v>22</v>
      </c>
      <c r="J850" t="s">
        <v>102</v>
      </c>
      <c r="K850" t="s">
        <v>173</v>
      </c>
      <c r="L850" t="s">
        <v>174</v>
      </c>
      <c r="M850" t="s">
        <v>175</v>
      </c>
      <c r="N850" t="s">
        <v>176</v>
      </c>
      <c r="O850" t="s">
        <v>177</v>
      </c>
      <c r="P850" t="s">
        <v>5</v>
      </c>
      <c r="Q850" t="s">
        <v>6</v>
      </c>
      <c r="R850" t="s">
        <v>330</v>
      </c>
      <c r="S850" t="s">
        <v>7</v>
      </c>
      <c r="T850" t="s">
        <v>334</v>
      </c>
      <c r="U850">
        <f>Sales_Order[[#This Row],[Quantity ordered]]*Sales_Order[[#This Row],[Price each]]</f>
        <v>2167.2200000000003</v>
      </c>
    </row>
    <row r="851" spans="1:21" x14ac:dyDescent="0.3">
      <c r="A851">
        <v>10182</v>
      </c>
      <c r="B851">
        <v>49</v>
      </c>
      <c r="C851">
        <v>100</v>
      </c>
      <c r="D851">
        <v>17</v>
      </c>
      <c r="E851" s="1">
        <v>37966</v>
      </c>
      <c r="F851" t="s">
        <v>0</v>
      </c>
      <c r="G851">
        <v>4</v>
      </c>
      <c r="H851">
        <v>2003</v>
      </c>
      <c r="I851" t="s">
        <v>22</v>
      </c>
      <c r="J851" t="s">
        <v>102</v>
      </c>
      <c r="K851" t="s">
        <v>225</v>
      </c>
      <c r="L851" t="s">
        <v>226</v>
      </c>
      <c r="M851" t="s">
        <v>227</v>
      </c>
      <c r="N851" t="s">
        <v>161</v>
      </c>
      <c r="O851" t="s">
        <v>177</v>
      </c>
      <c r="P851" t="s">
        <v>5</v>
      </c>
      <c r="Q851" t="s">
        <v>6</v>
      </c>
      <c r="R851" t="s">
        <v>349</v>
      </c>
      <c r="S851" t="s">
        <v>8</v>
      </c>
      <c r="T851" t="s">
        <v>334</v>
      </c>
      <c r="U851">
        <f>Sales_Order[[#This Row],[Quantity ordered]]*Sales_Order[[#This Row],[Price each]]</f>
        <v>4900</v>
      </c>
    </row>
    <row r="852" spans="1:21" x14ac:dyDescent="0.3">
      <c r="A852">
        <v>10192</v>
      </c>
      <c r="B852">
        <v>46</v>
      </c>
      <c r="C852">
        <v>100</v>
      </c>
      <c r="D852">
        <v>5</v>
      </c>
      <c r="E852" s="1">
        <v>37945</v>
      </c>
      <c r="F852" t="s">
        <v>0</v>
      </c>
      <c r="G852">
        <v>4</v>
      </c>
      <c r="H852">
        <v>2003</v>
      </c>
      <c r="I852" t="s">
        <v>22</v>
      </c>
      <c r="J852" t="s">
        <v>102</v>
      </c>
      <c r="K852" t="s">
        <v>228</v>
      </c>
      <c r="L852" t="s">
        <v>229</v>
      </c>
      <c r="M852" t="s">
        <v>230</v>
      </c>
      <c r="N852" t="s">
        <v>231</v>
      </c>
      <c r="O852" t="s">
        <v>232</v>
      </c>
      <c r="P852" t="s">
        <v>5</v>
      </c>
      <c r="Q852" t="s">
        <v>6</v>
      </c>
      <c r="R852" t="s">
        <v>350</v>
      </c>
      <c r="S852" t="s">
        <v>8</v>
      </c>
      <c r="T852" t="s">
        <v>334</v>
      </c>
      <c r="U852">
        <f>Sales_Order[[#This Row],[Quantity ordered]]*Sales_Order[[#This Row],[Price each]]</f>
        <v>4600</v>
      </c>
    </row>
    <row r="853" spans="1:21" x14ac:dyDescent="0.3">
      <c r="A853">
        <v>10204</v>
      </c>
      <c r="B853">
        <v>48</v>
      </c>
      <c r="C853">
        <v>91.02</v>
      </c>
      <c r="D853">
        <v>11</v>
      </c>
      <c r="E853" s="1">
        <v>37664</v>
      </c>
      <c r="F853" t="s">
        <v>0</v>
      </c>
      <c r="G853">
        <v>4</v>
      </c>
      <c r="H853">
        <v>2003</v>
      </c>
      <c r="I853" t="s">
        <v>22</v>
      </c>
      <c r="J853" t="s">
        <v>102</v>
      </c>
      <c r="K853" t="s">
        <v>36</v>
      </c>
      <c r="L853" t="s">
        <v>37</v>
      </c>
      <c r="M853" t="s">
        <v>3</v>
      </c>
      <c r="N853" t="s">
        <v>4</v>
      </c>
      <c r="O853" t="s">
        <v>135</v>
      </c>
      <c r="P853" t="s">
        <v>5</v>
      </c>
      <c r="Q853" t="s">
        <v>6</v>
      </c>
      <c r="R853" t="s">
        <v>366</v>
      </c>
      <c r="S853" t="s">
        <v>8</v>
      </c>
      <c r="T853" t="s">
        <v>336</v>
      </c>
      <c r="U853">
        <f>Sales_Order[[#This Row],[Quantity ordered]]*Sales_Order[[#This Row],[Price each]]</f>
        <v>4368.96</v>
      </c>
    </row>
    <row r="854" spans="1:21" x14ac:dyDescent="0.3">
      <c r="A854">
        <v>10226</v>
      </c>
      <c r="B854">
        <v>48</v>
      </c>
      <c r="C854">
        <v>92.09</v>
      </c>
      <c r="D854">
        <v>2</v>
      </c>
      <c r="E854" s="1">
        <v>38043</v>
      </c>
      <c r="F854" t="s">
        <v>0</v>
      </c>
      <c r="G854">
        <v>1</v>
      </c>
      <c r="H854">
        <v>2004</v>
      </c>
      <c r="I854" t="s">
        <v>22</v>
      </c>
      <c r="J854" t="s">
        <v>102</v>
      </c>
      <c r="K854" t="s">
        <v>255</v>
      </c>
      <c r="L854" t="s">
        <v>256</v>
      </c>
      <c r="M854" t="s">
        <v>257</v>
      </c>
      <c r="N854" t="s">
        <v>161</v>
      </c>
      <c r="O854" t="s">
        <v>258</v>
      </c>
      <c r="P854" t="s">
        <v>5</v>
      </c>
      <c r="Q854" t="s">
        <v>6</v>
      </c>
      <c r="R854" t="s">
        <v>358</v>
      </c>
      <c r="S854" t="s">
        <v>8</v>
      </c>
      <c r="T854" t="s">
        <v>320</v>
      </c>
      <c r="U854">
        <f>Sales_Order[[#This Row],[Quantity ordered]]*Sales_Order[[#This Row],[Price each]]</f>
        <v>4420.32</v>
      </c>
    </row>
    <row r="855" spans="1:21" x14ac:dyDescent="0.3">
      <c r="A855">
        <v>10267</v>
      </c>
      <c r="B855">
        <v>43</v>
      </c>
      <c r="C855">
        <v>100</v>
      </c>
      <c r="D855">
        <v>6</v>
      </c>
      <c r="E855" s="1">
        <v>38175</v>
      </c>
      <c r="F855" t="s">
        <v>0</v>
      </c>
      <c r="G855">
        <v>3</v>
      </c>
      <c r="H855">
        <v>2004</v>
      </c>
      <c r="I855" t="s">
        <v>22</v>
      </c>
      <c r="J855" t="s">
        <v>102</v>
      </c>
      <c r="K855" t="s">
        <v>36</v>
      </c>
      <c r="L855" t="s">
        <v>37</v>
      </c>
      <c r="M855" t="s">
        <v>3</v>
      </c>
      <c r="N855" t="s">
        <v>4</v>
      </c>
      <c r="O855" t="s">
        <v>135</v>
      </c>
      <c r="P855" t="s">
        <v>5</v>
      </c>
      <c r="Q855" t="s">
        <v>6</v>
      </c>
      <c r="R855" t="s">
        <v>366</v>
      </c>
      <c r="S855" t="s">
        <v>8</v>
      </c>
      <c r="T855" t="s">
        <v>339</v>
      </c>
      <c r="U855">
        <f>Sales_Order[[#This Row],[Quantity ordered]]*Sales_Order[[#This Row],[Price each]]</f>
        <v>4300</v>
      </c>
    </row>
    <row r="856" spans="1:21" x14ac:dyDescent="0.3">
      <c r="A856">
        <v>10321</v>
      </c>
      <c r="B856">
        <v>21</v>
      </c>
      <c r="C856">
        <v>89.95</v>
      </c>
      <c r="D856">
        <v>4</v>
      </c>
      <c r="E856" s="1">
        <v>38088</v>
      </c>
      <c r="F856" t="s">
        <v>0</v>
      </c>
      <c r="G856">
        <v>4</v>
      </c>
      <c r="H856">
        <v>2004</v>
      </c>
      <c r="I856" t="s">
        <v>22</v>
      </c>
      <c r="J856" t="s">
        <v>102</v>
      </c>
      <c r="K856" t="s">
        <v>189</v>
      </c>
      <c r="L856" t="s">
        <v>190</v>
      </c>
      <c r="M856" t="s">
        <v>191</v>
      </c>
      <c r="N856" t="s">
        <v>181</v>
      </c>
      <c r="O856" t="s">
        <v>192</v>
      </c>
      <c r="P856" t="s">
        <v>5</v>
      </c>
      <c r="Q856" t="s">
        <v>6</v>
      </c>
      <c r="R856" t="s">
        <v>337</v>
      </c>
      <c r="S856" t="s">
        <v>7</v>
      </c>
      <c r="T856" t="s">
        <v>334</v>
      </c>
      <c r="U856">
        <f>Sales_Order[[#This Row],[Quantity ordered]]*Sales_Order[[#This Row],[Price each]]</f>
        <v>1888.95</v>
      </c>
    </row>
    <row r="857" spans="1:21" x14ac:dyDescent="0.3">
      <c r="A857">
        <v>10346</v>
      </c>
      <c r="B857">
        <v>26</v>
      </c>
      <c r="C857">
        <v>95.88</v>
      </c>
      <c r="D857">
        <v>6</v>
      </c>
      <c r="E857" s="1">
        <v>38320</v>
      </c>
      <c r="F857" t="s">
        <v>0</v>
      </c>
      <c r="G857">
        <v>4</v>
      </c>
      <c r="H857">
        <v>2004</v>
      </c>
      <c r="I857" t="s">
        <v>22</v>
      </c>
      <c r="J857" t="s">
        <v>102</v>
      </c>
      <c r="K857" t="s">
        <v>290</v>
      </c>
      <c r="L857" t="s">
        <v>291</v>
      </c>
      <c r="M857" t="s">
        <v>292</v>
      </c>
      <c r="N857" t="s">
        <v>293</v>
      </c>
      <c r="O857" t="s">
        <v>294</v>
      </c>
      <c r="P857" t="s">
        <v>5</v>
      </c>
      <c r="Q857" t="s">
        <v>6</v>
      </c>
      <c r="R857" t="s">
        <v>370</v>
      </c>
      <c r="S857" t="s">
        <v>7</v>
      </c>
      <c r="T857" t="s">
        <v>334</v>
      </c>
      <c r="U857">
        <f>Sales_Order[[#This Row],[Quantity ordered]]*Sales_Order[[#This Row],[Price each]]</f>
        <v>2492.88</v>
      </c>
    </row>
    <row r="858" spans="1:21" x14ac:dyDescent="0.3">
      <c r="A858">
        <v>10368</v>
      </c>
      <c r="B858">
        <v>20</v>
      </c>
      <c r="C858">
        <v>99.58</v>
      </c>
      <c r="D858">
        <v>4</v>
      </c>
      <c r="E858" s="1">
        <v>38371</v>
      </c>
      <c r="F858" t="s">
        <v>0</v>
      </c>
      <c r="G858">
        <v>1</v>
      </c>
      <c r="H858">
        <v>2005</v>
      </c>
      <c r="I858" t="s">
        <v>22</v>
      </c>
      <c r="J858" t="s">
        <v>102</v>
      </c>
      <c r="K858" t="s">
        <v>225</v>
      </c>
      <c r="L858" t="s">
        <v>226</v>
      </c>
      <c r="M858" t="s">
        <v>227</v>
      </c>
      <c r="N858" t="s">
        <v>161</v>
      </c>
      <c r="O858" t="s">
        <v>177</v>
      </c>
      <c r="P858" t="s">
        <v>5</v>
      </c>
      <c r="Q858" t="s">
        <v>6</v>
      </c>
      <c r="R858" t="s">
        <v>349</v>
      </c>
      <c r="S858" t="s">
        <v>7</v>
      </c>
      <c r="T858" t="s">
        <v>345</v>
      </c>
      <c r="U858">
        <f>Sales_Order[[#This Row],[Quantity ordered]]*Sales_Order[[#This Row],[Price each]]</f>
        <v>1991.6</v>
      </c>
    </row>
    <row r="859" spans="1:21" x14ac:dyDescent="0.3">
      <c r="A859">
        <v>10407</v>
      </c>
      <c r="B859">
        <v>43</v>
      </c>
      <c r="C859">
        <v>86.73</v>
      </c>
      <c r="D859">
        <v>9</v>
      </c>
      <c r="E859" s="1">
        <v>38464</v>
      </c>
      <c r="F859" t="s">
        <v>275</v>
      </c>
      <c r="G859">
        <v>2</v>
      </c>
      <c r="H859">
        <v>2005</v>
      </c>
      <c r="I859" t="s">
        <v>22</v>
      </c>
      <c r="J859" t="s">
        <v>102</v>
      </c>
      <c r="K859" t="s">
        <v>272</v>
      </c>
      <c r="L859" t="s">
        <v>273</v>
      </c>
      <c r="M859" t="s">
        <v>274</v>
      </c>
      <c r="N859" t="s">
        <v>161</v>
      </c>
      <c r="O859" t="s">
        <v>166</v>
      </c>
      <c r="P859" t="s">
        <v>5</v>
      </c>
      <c r="Q859" t="s">
        <v>6</v>
      </c>
      <c r="R859" t="s">
        <v>363</v>
      </c>
      <c r="S859" t="s">
        <v>8</v>
      </c>
      <c r="T859" t="s">
        <v>327</v>
      </c>
      <c r="U859">
        <f>Sales_Order[[#This Row],[Quantity ordered]]*Sales_Order[[#This Row],[Price each]]</f>
        <v>3729.3900000000003</v>
      </c>
    </row>
    <row r="860" spans="1:21" x14ac:dyDescent="0.3">
      <c r="A860">
        <v>10420</v>
      </c>
      <c r="B860">
        <v>26</v>
      </c>
      <c r="C860">
        <v>100</v>
      </c>
      <c r="D860">
        <v>12</v>
      </c>
      <c r="E860" s="1">
        <v>38501</v>
      </c>
      <c r="F860" t="s">
        <v>29</v>
      </c>
      <c r="G860">
        <v>2</v>
      </c>
      <c r="H860">
        <v>2005</v>
      </c>
      <c r="I860" t="s">
        <v>22</v>
      </c>
      <c r="J860" t="s">
        <v>102</v>
      </c>
      <c r="K860" t="s">
        <v>18</v>
      </c>
      <c r="L860" t="s">
        <v>19</v>
      </c>
      <c r="M860" t="s">
        <v>20</v>
      </c>
      <c r="N860" t="s">
        <v>21</v>
      </c>
      <c r="O860" t="s">
        <v>136</v>
      </c>
      <c r="P860" t="s">
        <v>13</v>
      </c>
      <c r="Q860" t="s">
        <v>14</v>
      </c>
      <c r="R860" t="s">
        <v>335</v>
      </c>
      <c r="S860" t="s">
        <v>7</v>
      </c>
      <c r="T860" t="s">
        <v>329</v>
      </c>
      <c r="U860">
        <f>Sales_Order[[#This Row],[Quantity ordered]]*Sales_Order[[#This Row],[Price each]]</f>
        <v>2600</v>
      </c>
    </row>
    <row r="861" spans="1:21" x14ac:dyDescent="0.3">
      <c r="A861">
        <v>10143</v>
      </c>
      <c r="B861">
        <v>23</v>
      </c>
      <c r="C861">
        <v>80.510000000000005</v>
      </c>
      <c r="D861">
        <v>14</v>
      </c>
      <c r="E861" s="1">
        <v>37902</v>
      </c>
      <c r="F861" t="s">
        <v>0</v>
      </c>
      <c r="G861">
        <v>3</v>
      </c>
      <c r="H861">
        <v>2003</v>
      </c>
      <c r="I861" t="s">
        <v>49</v>
      </c>
      <c r="J861" t="s">
        <v>312</v>
      </c>
      <c r="K861" t="s">
        <v>252</v>
      </c>
      <c r="L861" t="s">
        <v>253</v>
      </c>
      <c r="M861" t="s">
        <v>191</v>
      </c>
      <c r="N861" t="s">
        <v>181</v>
      </c>
      <c r="O861" t="s">
        <v>192</v>
      </c>
      <c r="P861" t="s">
        <v>5</v>
      </c>
      <c r="Q861" t="s">
        <v>6</v>
      </c>
      <c r="R861" t="s">
        <v>357</v>
      </c>
      <c r="S861" t="s">
        <v>7</v>
      </c>
      <c r="T861" t="s">
        <v>322</v>
      </c>
      <c r="U861">
        <f>Sales_Order[[#This Row],[Quantity ordered]]*Sales_Order[[#This Row],[Price each]]</f>
        <v>1851.73</v>
      </c>
    </row>
    <row r="862" spans="1:21" x14ac:dyDescent="0.3">
      <c r="A862">
        <v>10222</v>
      </c>
      <c r="B862">
        <v>46</v>
      </c>
      <c r="C862">
        <v>80.510000000000005</v>
      </c>
      <c r="D862">
        <v>11</v>
      </c>
      <c r="E862" s="1">
        <v>38036</v>
      </c>
      <c r="F862" t="s">
        <v>0</v>
      </c>
      <c r="G862">
        <v>1</v>
      </c>
      <c r="H862">
        <v>2004</v>
      </c>
      <c r="I862" t="s">
        <v>49</v>
      </c>
      <c r="J862" t="s">
        <v>312</v>
      </c>
      <c r="K862" t="s">
        <v>255</v>
      </c>
      <c r="L862" t="s">
        <v>256</v>
      </c>
      <c r="M862" t="s">
        <v>257</v>
      </c>
      <c r="N862" t="s">
        <v>161</v>
      </c>
      <c r="O862" t="s">
        <v>258</v>
      </c>
      <c r="P862" t="s">
        <v>5</v>
      </c>
      <c r="Q862" t="s">
        <v>6</v>
      </c>
      <c r="R862" t="s">
        <v>358</v>
      </c>
      <c r="S862" t="s">
        <v>8</v>
      </c>
      <c r="T862" t="s">
        <v>320</v>
      </c>
      <c r="U862">
        <f>Sales_Order[[#This Row],[Quantity ordered]]*Sales_Order[[#This Row],[Price each]]</f>
        <v>3703.46</v>
      </c>
    </row>
    <row r="863" spans="1:21" x14ac:dyDescent="0.3">
      <c r="A863">
        <v>10248</v>
      </c>
      <c r="B863">
        <v>23</v>
      </c>
      <c r="C863">
        <v>76.31</v>
      </c>
      <c r="D863">
        <v>2</v>
      </c>
      <c r="E863" s="1">
        <v>38173</v>
      </c>
      <c r="F863" t="s">
        <v>254</v>
      </c>
      <c r="G863">
        <v>2</v>
      </c>
      <c r="H863">
        <v>2004</v>
      </c>
      <c r="I863" t="s">
        <v>49</v>
      </c>
      <c r="J863" t="s">
        <v>312</v>
      </c>
      <c r="K863" t="s">
        <v>155</v>
      </c>
      <c r="L863" t="s">
        <v>156</v>
      </c>
      <c r="M863" t="s">
        <v>3</v>
      </c>
      <c r="N863" t="s">
        <v>4</v>
      </c>
      <c r="O863" t="s">
        <v>135</v>
      </c>
      <c r="P863" t="s">
        <v>5</v>
      </c>
      <c r="Q863" t="s">
        <v>6</v>
      </c>
      <c r="R863" t="s">
        <v>319</v>
      </c>
      <c r="S863" t="s">
        <v>7</v>
      </c>
      <c r="T863" t="s">
        <v>329</v>
      </c>
      <c r="U863">
        <f>Sales_Order[[#This Row],[Quantity ordered]]*Sales_Order[[#This Row],[Price each]]</f>
        <v>1755.13</v>
      </c>
    </row>
    <row r="864" spans="1:21" x14ac:dyDescent="0.3">
      <c r="A864">
        <v>10283</v>
      </c>
      <c r="B864">
        <v>33</v>
      </c>
      <c r="C864">
        <v>72.959999999999994</v>
      </c>
      <c r="D864">
        <v>5</v>
      </c>
      <c r="E864" s="1">
        <v>38219</v>
      </c>
      <c r="F864" t="s">
        <v>0</v>
      </c>
      <c r="G864">
        <v>3</v>
      </c>
      <c r="H864">
        <v>2004</v>
      </c>
      <c r="I864" t="s">
        <v>49</v>
      </c>
      <c r="J864" t="s">
        <v>312</v>
      </c>
      <c r="K864" t="s">
        <v>259</v>
      </c>
      <c r="L864" t="s">
        <v>260</v>
      </c>
      <c r="M864" t="s">
        <v>261</v>
      </c>
      <c r="N864" t="s">
        <v>208</v>
      </c>
      <c r="O864" t="s">
        <v>262</v>
      </c>
      <c r="P864" t="s">
        <v>210</v>
      </c>
      <c r="Q864" t="s">
        <v>6</v>
      </c>
      <c r="R864" t="s">
        <v>359</v>
      </c>
      <c r="S864" t="s">
        <v>7</v>
      </c>
      <c r="T864" t="s">
        <v>322</v>
      </c>
      <c r="U864">
        <f>Sales_Order[[#This Row],[Quantity ordered]]*Sales_Order[[#This Row],[Price each]]</f>
        <v>2407.6799999999998</v>
      </c>
    </row>
    <row r="865" spans="1:21" x14ac:dyDescent="0.3">
      <c r="A865">
        <v>10307</v>
      </c>
      <c r="B865">
        <v>22</v>
      </c>
      <c r="C865">
        <v>91.41</v>
      </c>
      <c r="D865">
        <v>8</v>
      </c>
      <c r="E865" s="1">
        <v>38274</v>
      </c>
      <c r="F865" t="s">
        <v>0</v>
      </c>
      <c r="G865">
        <v>4</v>
      </c>
      <c r="H865">
        <v>2004</v>
      </c>
      <c r="I865" t="s">
        <v>49</v>
      </c>
      <c r="J865" t="s">
        <v>312</v>
      </c>
      <c r="K865" t="s">
        <v>201</v>
      </c>
      <c r="L865" t="s">
        <v>202</v>
      </c>
      <c r="M865" t="s">
        <v>203</v>
      </c>
      <c r="N865" t="s">
        <v>186</v>
      </c>
      <c r="O865" t="s">
        <v>204</v>
      </c>
      <c r="P865" t="s">
        <v>5</v>
      </c>
      <c r="Q865" t="s">
        <v>6</v>
      </c>
      <c r="R865" t="s">
        <v>342</v>
      </c>
      <c r="S865" t="s">
        <v>7</v>
      </c>
      <c r="T865" t="s">
        <v>324</v>
      </c>
      <c r="U865">
        <f>Sales_Order[[#This Row],[Quantity ordered]]*Sales_Order[[#This Row],[Price each]]</f>
        <v>2011.02</v>
      </c>
    </row>
    <row r="866" spans="1:21" x14ac:dyDescent="0.3">
      <c r="A866">
        <v>10316</v>
      </c>
      <c r="B866">
        <v>25</v>
      </c>
      <c r="C866">
        <v>92.25</v>
      </c>
      <c r="D866">
        <v>16</v>
      </c>
      <c r="E866" s="1">
        <v>37997</v>
      </c>
      <c r="F866" t="s">
        <v>0</v>
      </c>
      <c r="G866">
        <v>4</v>
      </c>
      <c r="H866">
        <v>2004</v>
      </c>
      <c r="I866" t="s">
        <v>49</v>
      </c>
      <c r="J866" t="s">
        <v>312</v>
      </c>
      <c r="K866" t="s">
        <v>267</v>
      </c>
      <c r="L866" t="s">
        <v>268</v>
      </c>
      <c r="M866" t="s">
        <v>269</v>
      </c>
      <c r="N866" t="s">
        <v>270</v>
      </c>
      <c r="O866" t="s">
        <v>271</v>
      </c>
      <c r="P866" t="s">
        <v>193</v>
      </c>
      <c r="Q866" t="s">
        <v>157</v>
      </c>
      <c r="R866" t="s">
        <v>362</v>
      </c>
      <c r="S866" t="s">
        <v>7</v>
      </c>
      <c r="T866" t="s">
        <v>334</v>
      </c>
      <c r="U866">
        <f>Sales_Order[[#This Row],[Quantity ordered]]*Sales_Order[[#This Row],[Price each]]</f>
        <v>2306.25</v>
      </c>
    </row>
    <row r="867" spans="1:21" x14ac:dyDescent="0.3">
      <c r="A867">
        <v>10339</v>
      </c>
      <c r="B867">
        <v>42</v>
      </c>
      <c r="C867">
        <v>59.36</v>
      </c>
      <c r="D867">
        <v>16</v>
      </c>
      <c r="E867" s="1">
        <v>38314</v>
      </c>
      <c r="F867" t="s">
        <v>0</v>
      </c>
      <c r="G867">
        <v>4</v>
      </c>
      <c r="H867">
        <v>2004</v>
      </c>
      <c r="I867" t="s">
        <v>49</v>
      </c>
      <c r="J867" t="s">
        <v>312</v>
      </c>
      <c r="K867" t="s">
        <v>220</v>
      </c>
      <c r="L867" t="s">
        <v>221</v>
      </c>
      <c r="M867" t="s">
        <v>222</v>
      </c>
      <c r="N867" t="s">
        <v>223</v>
      </c>
      <c r="O867" t="s">
        <v>224</v>
      </c>
      <c r="P867" t="s">
        <v>195</v>
      </c>
      <c r="Q867" t="s">
        <v>195</v>
      </c>
      <c r="R867" t="s">
        <v>348</v>
      </c>
      <c r="S867" t="s">
        <v>7</v>
      </c>
      <c r="T867" t="s">
        <v>334</v>
      </c>
      <c r="U867">
        <f>Sales_Order[[#This Row],[Quantity ordered]]*Sales_Order[[#This Row],[Price each]]</f>
        <v>2493.12</v>
      </c>
    </row>
    <row r="868" spans="1:21" x14ac:dyDescent="0.3">
      <c r="A868">
        <v>10385</v>
      </c>
      <c r="B868">
        <v>37</v>
      </c>
      <c r="C868">
        <v>85.54</v>
      </c>
      <c r="D868">
        <v>2</v>
      </c>
      <c r="E868" s="1">
        <v>38411</v>
      </c>
      <c r="F868" t="s">
        <v>0</v>
      </c>
      <c r="G868">
        <v>1</v>
      </c>
      <c r="H868">
        <v>2005</v>
      </c>
      <c r="I868" t="s">
        <v>49</v>
      </c>
      <c r="J868" t="s">
        <v>312</v>
      </c>
      <c r="K868" t="s">
        <v>225</v>
      </c>
      <c r="L868" t="s">
        <v>226</v>
      </c>
      <c r="M868" t="s">
        <v>227</v>
      </c>
      <c r="N868" t="s">
        <v>161</v>
      </c>
      <c r="O868" t="s">
        <v>177</v>
      </c>
      <c r="P868" t="s">
        <v>5</v>
      </c>
      <c r="Q868" t="s">
        <v>6</v>
      </c>
      <c r="R868" t="s">
        <v>349</v>
      </c>
      <c r="S868" t="s">
        <v>8</v>
      </c>
      <c r="T868" t="s">
        <v>320</v>
      </c>
      <c r="U868">
        <f>Sales_Order[[#This Row],[Quantity ordered]]*Sales_Order[[#This Row],[Price each]]</f>
        <v>3164.98</v>
      </c>
    </row>
    <row r="869" spans="1:21" x14ac:dyDescent="0.3">
      <c r="A869">
        <v>10396</v>
      </c>
      <c r="B869">
        <v>37</v>
      </c>
      <c r="C869">
        <v>90.57</v>
      </c>
      <c r="D869">
        <v>8</v>
      </c>
      <c r="E869" s="1">
        <v>38434</v>
      </c>
      <c r="F869" t="s">
        <v>0</v>
      </c>
      <c r="G869">
        <v>1</v>
      </c>
      <c r="H869">
        <v>2005</v>
      </c>
      <c r="I869" t="s">
        <v>49</v>
      </c>
      <c r="J869" t="s">
        <v>312</v>
      </c>
      <c r="K869" t="s">
        <v>225</v>
      </c>
      <c r="L869" t="s">
        <v>226</v>
      </c>
      <c r="M869" t="s">
        <v>227</v>
      </c>
      <c r="N869" t="s">
        <v>161</v>
      </c>
      <c r="O869" t="s">
        <v>177</v>
      </c>
      <c r="P869" t="s">
        <v>5</v>
      </c>
      <c r="Q869" t="s">
        <v>6</v>
      </c>
      <c r="R869" t="s">
        <v>349</v>
      </c>
      <c r="S869" t="s">
        <v>8</v>
      </c>
      <c r="T869" t="s">
        <v>338</v>
      </c>
      <c r="U869">
        <f>Sales_Order[[#This Row],[Quantity ordered]]*Sales_Order[[#This Row],[Price each]]</f>
        <v>3351.0899999999997</v>
      </c>
    </row>
    <row r="870" spans="1:21" x14ac:dyDescent="0.3">
      <c r="A870">
        <v>10400</v>
      </c>
      <c r="B870">
        <v>42</v>
      </c>
      <c r="C870">
        <v>72.959999999999994</v>
      </c>
      <c r="D870">
        <v>8</v>
      </c>
      <c r="E870" s="1">
        <v>38356</v>
      </c>
      <c r="F870" t="s">
        <v>0</v>
      </c>
      <c r="G870">
        <v>2</v>
      </c>
      <c r="H870">
        <v>2005</v>
      </c>
      <c r="I870" t="s">
        <v>49</v>
      </c>
      <c r="J870" t="s">
        <v>312</v>
      </c>
      <c r="K870" t="s">
        <v>272</v>
      </c>
      <c r="L870" t="s">
        <v>273</v>
      </c>
      <c r="M870" t="s">
        <v>274</v>
      </c>
      <c r="N870" t="s">
        <v>161</v>
      </c>
      <c r="O870" t="s">
        <v>166</v>
      </c>
      <c r="P870" t="s">
        <v>5</v>
      </c>
      <c r="Q870" t="s">
        <v>6</v>
      </c>
      <c r="R870" t="s">
        <v>363</v>
      </c>
      <c r="S870" t="s">
        <v>8</v>
      </c>
      <c r="T870" t="s">
        <v>327</v>
      </c>
      <c r="U870">
        <f>Sales_Order[[#This Row],[Quantity ordered]]*Sales_Order[[#This Row],[Price each]]</f>
        <v>3064.3199999999997</v>
      </c>
    </row>
    <row r="871" spans="1:21" x14ac:dyDescent="0.3">
      <c r="A871">
        <v>10414</v>
      </c>
      <c r="B871">
        <v>51</v>
      </c>
      <c r="C871">
        <v>76.31</v>
      </c>
      <c r="D871">
        <v>2</v>
      </c>
      <c r="E871" s="1">
        <v>38508</v>
      </c>
      <c r="F871" t="s">
        <v>275</v>
      </c>
      <c r="G871">
        <v>2</v>
      </c>
      <c r="H871">
        <v>2005</v>
      </c>
      <c r="I871" t="s">
        <v>49</v>
      </c>
      <c r="J871" t="s">
        <v>312</v>
      </c>
      <c r="K871" t="s">
        <v>263</v>
      </c>
      <c r="L871" t="s">
        <v>264</v>
      </c>
      <c r="M871" t="s">
        <v>265</v>
      </c>
      <c r="N871" t="s">
        <v>181</v>
      </c>
      <c r="O871" t="s">
        <v>266</v>
      </c>
      <c r="P871" t="s">
        <v>5</v>
      </c>
      <c r="Q871" t="s">
        <v>6</v>
      </c>
      <c r="R871" t="s">
        <v>360</v>
      </c>
      <c r="S871" t="s">
        <v>8</v>
      </c>
      <c r="T871" t="s">
        <v>329</v>
      </c>
      <c r="U871">
        <f>Sales_Order[[#This Row],[Quantity ordered]]*Sales_Order[[#This Row],[Price each]]</f>
        <v>3891.81</v>
      </c>
    </row>
    <row r="872" spans="1:21" x14ac:dyDescent="0.3">
      <c r="A872">
        <v>10135</v>
      </c>
      <c r="B872">
        <v>47</v>
      </c>
      <c r="C872">
        <v>100</v>
      </c>
      <c r="D872">
        <v>2</v>
      </c>
      <c r="E872" s="1">
        <v>37659</v>
      </c>
      <c r="F872" t="s">
        <v>0</v>
      </c>
      <c r="G872">
        <v>3</v>
      </c>
      <c r="H872">
        <v>2003</v>
      </c>
      <c r="I872" t="s">
        <v>22</v>
      </c>
      <c r="J872" t="s">
        <v>103</v>
      </c>
      <c r="K872" t="s">
        <v>225</v>
      </c>
      <c r="L872" t="s">
        <v>226</v>
      </c>
      <c r="M872" t="s">
        <v>227</v>
      </c>
      <c r="N872" t="s">
        <v>161</v>
      </c>
      <c r="O872" t="s">
        <v>177</v>
      </c>
      <c r="P872" t="s">
        <v>5</v>
      </c>
      <c r="Q872" t="s">
        <v>6</v>
      </c>
      <c r="R872" t="s">
        <v>349</v>
      </c>
      <c r="S872" t="s">
        <v>8</v>
      </c>
      <c r="T872" t="s">
        <v>339</v>
      </c>
      <c r="U872">
        <f>Sales_Order[[#This Row],[Quantity ordered]]*Sales_Order[[#This Row],[Price each]]</f>
        <v>4700</v>
      </c>
    </row>
    <row r="873" spans="1:21" x14ac:dyDescent="0.3">
      <c r="A873">
        <v>10147</v>
      </c>
      <c r="B873">
        <v>23</v>
      </c>
      <c r="C873">
        <v>100</v>
      </c>
      <c r="D873">
        <v>2</v>
      </c>
      <c r="E873" s="1">
        <v>37750</v>
      </c>
      <c r="F873" t="s">
        <v>0</v>
      </c>
      <c r="G873">
        <v>3</v>
      </c>
      <c r="H873">
        <v>2003</v>
      </c>
      <c r="I873" t="s">
        <v>22</v>
      </c>
      <c r="J873" t="s">
        <v>103</v>
      </c>
      <c r="K873" t="s">
        <v>233</v>
      </c>
      <c r="L873" t="s">
        <v>234</v>
      </c>
      <c r="M873" t="s">
        <v>235</v>
      </c>
      <c r="N873" t="s">
        <v>181</v>
      </c>
      <c r="O873" t="s">
        <v>236</v>
      </c>
      <c r="P873" t="s">
        <v>5</v>
      </c>
      <c r="Q873" t="s">
        <v>6</v>
      </c>
      <c r="R873" t="s">
        <v>351</v>
      </c>
      <c r="S873" t="s">
        <v>7</v>
      </c>
      <c r="T873" t="s">
        <v>361</v>
      </c>
      <c r="U873">
        <f>Sales_Order[[#This Row],[Quantity ordered]]*Sales_Order[[#This Row],[Price each]]</f>
        <v>2300</v>
      </c>
    </row>
    <row r="874" spans="1:21" x14ac:dyDescent="0.3">
      <c r="A874">
        <v>10192</v>
      </c>
      <c r="B874">
        <v>45</v>
      </c>
      <c r="C874">
        <v>100</v>
      </c>
      <c r="D874">
        <v>14</v>
      </c>
      <c r="E874" s="1">
        <v>37945</v>
      </c>
      <c r="F874" t="s">
        <v>0</v>
      </c>
      <c r="G874">
        <v>4</v>
      </c>
      <c r="H874">
        <v>2003</v>
      </c>
      <c r="I874" t="s">
        <v>22</v>
      </c>
      <c r="J874" t="s">
        <v>103</v>
      </c>
      <c r="K874" t="s">
        <v>228</v>
      </c>
      <c r="L874" t="s">
        <v>229</v>
      </c>
      <c r="M874" t="s">
        <v>230</v>
      </c>
      <c r="N874" t="s">
        <v>231</v>
      </c>
      <c r="O874" t="s">
        <v>232</v>
      </c>
      <c r="P874" t="s">
        <v>5</v>
      </c>
      <c r="Q874" t="s">
        <v>6</v>
      </c>
      <c r="R874" t="s">
        <v>350</v>
      </c>
      <c r="S874" t="s">
        <v>8</v>
      </c>
      <c r="T874" t="s">
        <v>334</v>
      </c>
      <c r="U874">
        <f>Sales_Order[[#This Row],[Quantity ordered]]*Sales_Order[[#This Row],[Price each]]</f>
        <v>4500</v>
      </c>
    </row>
    <row r="875" spans="1:21" x14ac:dyDescent="0.3">
      <c r="A875">
        <v>10278</v>
      </c>
      <c r="B875">
        <v>25</v>
      </c>
      <c r="C875">
        <v>100</v>
      </c>
      <c r="D875">
        <v>9</v>
      </c>
      <c r="E875" s="1">
        <v>38146</v>
      </c>
      <c r="F875" t="s">
        <v>0</v>
      </c>
      <c r="G875">
        <v>3</v>
      </c>
      <c r="H875">
        <v>2004</v>
      </c>
      <c r="I875" t="s">
        <v>22</v>
      </c>
      <c r="J875" t="s">
        <v>103</v>
      </c>
      <c r="K875" t="s">
        <v>290</v>
      </c>
      <c r="L875" t="s">
        <v>291</v>
      </c>
      <c r="M875" t="s">
        <v>292</v>
      </c>
      <c r="N875" t="s">
        <v>293</v>
      </c>
      <c r="O875" t="s">
        <v>294</v>
      </c>
      <c r="P875" t="s">
        <v>5</v>
      </c>
      <c r="Q875" t="s">
        <v>6</v>
      </c>
      <c r="R875" t="s">
        <v>370</v>
      </c>
      <c r="S875" t="s">
        <v>8</v>
      </c>
      <c r="T875" t="s">
        <v>322</v>
      </c>
      <c r="U875">
        <f>Sales_Order[[#This Row],[Quantity ordered]]*Sales_Order[[#This Row],[Price each]]</f>
        <v>2500</v>
      </c>
    </row>
    <row r="876" spans="1:21" x14ac:dyDescent="0.3">
      <c r="A876">
        <v>10321</v>
      </c>
      <c r="B876">
        <v>26</v>
      </c>
      <c r="C876">
        <v>100</v>
      </c>
      <c r="D876">
        <v>13</v>
      </c>
      <c r="E876" s="1">
        <v>38088</v>
      </c>
      <c r="F876" t="s">
        <v>0</v>
      </c>
      <c r="G876">
        <v>4</v>
      </c>
      <c r="H876">
        <v>2004</v>
      </c>
      <c r="I876" t="s">
        <v>22</v>
      </c>
      <c r="J876" t="s">
        <v>103</v>
      </c>
      <c r="K876" t="s">
        <v>189</v>
      </c>
      <c r="L876" t="s">
        <v>190</v>
      </c>
      <c r="M876" t="s">
        <v>191</v>
      </c>
      <c r="N876" t="s">
        <v>181</v>
      </c>
      <c r="O876" t="s">
        <v>192</v>
      </c>
      <c r="P876" t="s">
        <v>5</v>
      </c>
      <c r="Q876" t="s">
        <v>6</v>
      </c>
      <c r="R876" t="s">
        <v>337</v>
      </c>
      <c r="S876" t="s">
        <v>8</v>
      </c>
      <c r="T876" t="s">
        <v>334</v>
      </c>
      <c r="U876">
        <f>Sales_Order[[#This Row],[Quantity ordered]]*Sales_Order[[#This Row],[Price each]]</f>
        <v>2600</v>
      </c>
    </row>
    <row r="877" spans="1:21" x14ac:dyDescent="0.3">
      <c r="A877">
        <v>10331</v>
      </c>
      <c r="B877">
        <v>21</v>
      </c>
      <c r="C877">
        <v>100</v>
      </c>
      <c r="D877">
        <v>1</v>
      </c>
      <c r="E877" s="1">
        <v>38308</v>
      </c>
      <c r="F877" t="s">
        <v>0</v>
      </c>
      <c r="G877">
        <v>4</v>
      </c>
      <c r="H877">
        <v>2004</v>
      </c>
      <c r="I877" t="s">
        <v>22</v>
      </c>
      <c r="J877" t="s">
        <v>103</v>
      </c>
      <c r="K877" t="s">
        <v>246</v>
      </c>
      <c r="L877" t="s">
        <v>247</v>
      </c>
      <c r="M877" t="s">
        <v>203</v>
      </c>
      <c r="N877" t="s">
        <v>186</v>
      </c>
      <c r="O877" t="s">
        <v>204</v>
      </c>
      <c r="P877" t="s">
        <v>5</v>
      </c>
      <c r="Q877" t="s">
        <v>6</v>
      </c>
      <c r="R877" t="s">
        <v>355</v>
      </c>
      <c r="S877" t="s">
        <v>8</v>
      </c>
      <c r="T877" t="s">
        <v>334</v>
      </c>
      <c r="U877">
        <f>Sales_Order[[#This Row],[Quantity ordered]]*Sales_Order[[#This Row],[Price each]]</f>
        <v>2100</v>
      </c>
    </row>
    <row r="878" spans="1:21" x14ac:dyDescent="0.3">
      <c r="A878">
        <v>10342</v>
      </c>
      <c r="B878">
        <v>42</v>
      </c>
      <c r="C878">
        <v>100</v>
      </c>
      <c r="D878">
        <v>6</v>
      </c>
      <c r="E878" s="1">
        <v>38315</v>
      </c>
      <c r="F878" t="s">
        <v>0</v>
      </c>
      <c r="G878">
        <v>4</v>
      </c>
      <c r="H878">
        <v>2004</v>
      </c>
      <c r="I878" t="s">
        <v>22</v>
      </c>
      <c r="J878" t="s">
        <v>103</v>
      </c>
      <c r="K878" t="s">
        <v>9</v>
      </c>
      <c r="L878" t="s">
        <v>10</v>
      </c>
      <c r="M878" t="s">
        <v>11</v>
      </c>
      <c r="N878" t="s">
        <v>12</v>
      </c>
      <c r="O878" t="s">
        <v>134</v>
      </c>
      <c r="P878" t="s">
        <v>13</v>
      </c>
      <c r="Q878" t="s">
        <v>14</v>
      </c>
      <c r="R878" t="s">
        <v>325</v>
      </c>
      <c r="S878" t="s">
        <v>8</v>
      </c>
      <c r="T878" t="s">
        <v>334</v>
      </c>
      <c r="U878">
        <f>Sales_Order[[#This Row],[Quantity ordered]]*Sales_Order[[#This Row],[Price each]]</f>
        <v>4200</v>
      </c>
    </row>
    <row r="879" spans="1:21" x14ac:dyDescent="0.3">
      <c r="A879">
        <v>10390</v>
      </c>
      <c r="B879">
        <v>45</v>
      </c>
      <c r="C879">
        <v>100</v>
      </c>
      <c r="D879">
        <v>8</v>
      </c>
      <c r="E879" s="1">
        <v>38445</v>
      </c>
      <c r="F879" t="s">
        <v>0</v>
      </c>
      <c r="G879">
        <v>1</v>
      </c>
      <c r="H879">
        <v>2005</v>
      </c>
      <c r="I879" t="s">
        <v>22</v>
      </c>
      <c r="J879" t="s">
        <v>103</v>
      </c>
      <c r="K879" t="s">
        <v>225</v>
      </c>
      <c r="L879" t="s">
        <v>226</v>
      </c>
      <c r="M879" t="s">
        <v>227</v>
      </c>
      <c r="N879" t="s">
        <v>161</v>
      </c>
      <c r="O879" t="s">
        <v>177</v>
      </c>
      <c r="P879" t="s">
        <v>5</v>
      </c>
      <c r="Q879" t="s">
        <v>6</v>
      </c>
      <c r="R879" t="s">
        <v>349</v>
      </c>
      <c r="S879" t="s">
        <v>8</v>
      </c>
      <c r="T879" t="s">
        <v>338</v>
      </c>
      <c r="U879">
        <f>Sales_Order[[#This Row],[Quantity ordered]]*Sales_Order[[#This Row],[Price each]]</f>
        <v>4500</v>
      </c>
    </row>
    <row r="880" spans="1:21" x14ac:dyDescent="0.3">
      <c r="A880">
        <v>10131</v>
      </c>
      <c r="B880">
        <v>50</v>
      </c>
      <c r="C880">
        <v>81.89</v>
      </c>
      <c r="D880">
        <v>3</v>
      </c>
      <c r="E880" s="1">
        <v>37788</v>
      </c>
      <c r="F880" t="s">
        <v>0</v>
      </c>
      <c r="G880">
        <v>2</v>
      </c>
      <c r="H880">
        <v>2003</v>
      </c>
      <c r="I880" t="s">
        <v>53</v>
      </c>
      <c r="J880" t="s">
        <v>104</v>
      </c>
      <c r="K880" t="s">
        <v>301</v>
      </c>
      <c r="L880" t="s">
        <v>302</v>
      </c>
      <c r="M880" t="s">
        <v>284</v>
      </c>
      <c r="N880" t="s">
        <v>176</v>
      </c>
      <c r="O880" t="s">
        <v>303</v>
      </c>
      <c r="P880" t="s">
        <v>5</v>
      </c>
      <c r="Q880" t="s">
        <v>6</v>
      </c>
      <c r="R880" t="s">
        <v>372</v>
      </c>
      <c r="S880" t="s">
        <v>8</v>
      </c>
      <c r="T880" t="s">
        <v>331</v>
      </c>
      <c r="U880">
        <f>Sales_Order[[#This Row],[Quantity ordered]]*Sales_Order[[#This Row],[Price each]]</f>
        <v>4094.5</v>
      </c>
    </row>
    <row r="881" spans="1:21" x14ac:dyDescent="0.3">
      <c r="A881">
        <v>10143</v>
      </c>
      <c r="B881">
        <v>28</v>
      </c>
      <c r="C881">
        <v>66.19</v>
      </c>
      <c r="D881">
        <v>6</v>
      </c>
      <c r="E881" s="1">
        <v>37902</v>
      </c>
      <c r="F881" t="s">
        <v>0</v>
      </c>
      <c r="G881">
        <v>3</v>
      </c>
      <c r="H881">
        <v>2003</v>
      </c>
      <c r="I881" t="s">
        <v>53</v>
      </c>
      <c r="J881" t="s">
        <v>104</v>
      </c>
      <c r="K881" t="s">
        <v>252</v>
      </c>
      <c r="L881" t="s">
        <v>253</v>
      </c>
      <c r="M881" t="s">
        <v>191</v>
      </c>
      <c r="N881" t="s">
        <v>181</v>
      </c>
      <c r="O881" t="s">
        <v>192</v>
      </c>
      <c r="P881" t="s">
        <v>5</v>
      </c>
      <c r="Q881" t="s">
        <v>6</v>
      </c>
      <c r="R881" t="s">
        <v>357</v>
      </c>
      <c r="S881" t="s">
        <v>7</v>
      </c>
      <c r="T881" t="s">
        <v>322</v>
      </c>
      <c r="U881">
        <f>Sales_Order[[#This Row],[Quantity ordered]]*Sales_Order[[#This Row],[Price each]]</f>
        <v>1853.32</v>
      </c>
    </row>
    <row r="882" spans="1:21" x14ac:dyDescent="0.3">
      <c r="A882">
        <v>10168</v>
      </c>
      <c r="B882">
        <v>27</v>
      </c>
      <c r="C882">
        <v>73.02</v>
      </c>
      <c r="D882">
        <v>18</v>
      </c>
      <c r="E882" s="1">
        <v>37922</v>
      </c>
      <c r="F882" t="s">
        <v>0</v>
      </c>
      <c r="G882">
        <v>4</v>
      </c>
      <c r="H882">
        <v>2003</v>
      </c>
      <c r="I882" t="s">
        <v>53</v>
      </c>
      <c r="J882" t="s">
        <v>104</v>
      </c>
      <c r="K882" t="s">
        <v>163</v>
      </c>
      <c r="L882" t="s">
        <v>164</v>
      </c>
      <c r="M882" t="s">
        <v>165</v>
      </c>
      <c r="N882" t="s">
        <v>161</v>
      </c>
      <c r="O882" t="s">
        <v>166</v>
      </c>
      <c r="P882" t="s">
        <v>5</v>
      </c>
      <c r="Q882" t="s">
        <v>6</v>
      </c>
      <c r="R882" t="s">
        <v>323</v>
      </c>
      <c r="S882" t="s">
        <v>7</v>
      </c>
      <c r="T882" t="s">
        <v>324</v>
      </c>
      <c r="U882">
        <f>Sales_Order[[#This Row],[Quantity ordered]]*Sales_Order[[#This Row],[Price each]]</f>
        <v>1971.54</v>
      </c>
    </row>
    <row r="883" spans="1:21" x14ac:dyDescent="0.3">
      <c r="A883">
        <v>10210</v>
      </c>
      <c r="B883">
        <v>29</v>
      </c>
      <c r="C883">
        <v>69.599999999999994</v>
      </c>
      <c r="D883">
        <v>16</v>
      </c>
      <c r="E883" s="1">
        <v>38322</v>
      </c>
      <c r="F883" t="s">
        <v>0</v>
      </c>
      <c r="G883">
        <v>1</v>
      </c>
      <c r="H883">
        <v>2004</v>
      </c>
      <c r="I883" t="s">
        <v>53</v>
      </c>
      <c r="J883" t="s">
        <v>104</v>
      </c>
      <c r="K883" t="s">
        <v>242</v>
      </c>
      <c r="L883" t="s">
        <v>243</v>
      </c>
      <c r="M883" t="s">
        <v>244</v>
      </c>
      <c r="N883" t="s">
        <v>244</v>
      </c>
      <c r="O883" t="s">
        <v>245</v>
      </c>
      <c r="P883" t="s">
        <v>195</v>
      </c>
      <c r="Q883" t="s">
        <v>195</v>
      </c>
      <c r="R883" t="s">
        <v>354</v>
      </c>
      <c r="S883" t="s">
        <v>7</v>
      </c>
      <c r="T883" t="s">
        <v>345</v>
      </c>
      <c r="U883">
        <f>Sales_Order[[#This Row],[Quantity ordered]]*Sales_Order[[#This Row],[Price each]]</f>
        <v>2018.3999999999999</v>
      </c>
    </row>
    <row r="884" spans="1:21" x14ac:dyDescent="0.3">
      <c r="A884">
        <v>10222</v>
      </c>
      <c r="B884">
        <v>48</v>
      </c>
      <c r="C884">
        <v>56.64</v>
      </c>
      <c r="D884">
        <v>3</v>
      </c>
      <c r="E884" s="1">
        <v>38036</v>
      </c>
      <c r="F884" t="s">
        <v>0</v>
      </c>
      <c r="G884">
        <v>1</v>
      </c>
      <c r="H884">
        <v>2004</v>
      </c>
      <c r="I884" t="s">
        <v>53</v>
      </c>
      <c r="J884" t="s">
        <v>104</v>
      </c>
      <c r="K884" t="s">
        <v>255</v>
      </c>
      <c r="L884" t="s">
        <v>256</v>
      </c>
      <c r="M884" t="s">
        <v>257</v>
      </c>
      <c r="N884" t="s">
        <v>161</v>
      </c>
      <c r="O884" t="s">
        <v>258</v>
      </c>
      <c r="P884" t="s">
        <v>5</v>
      </c>
      <c r="Q884" t="s">
        <v>6</v>
      </c>
      <c r="R884" t="s">
        <v>358</v>
      </c>
      <c r="S884" t="s">
        <v>7</v>
      </c>
      <c r="T884" t="s">
        <v>320</v>
      </c>
      <c r="U884">
        <f>Sales_Order[[#This Row],[Quantity ordered]]*Sales_Order[[#This Row],[Price each]]</f>
        <v>2718.7200000000003</v>
      </c>
    </row>
    <row r="885" spans="1:21" x14ac:dyDescent="0.3">
      <c r="A885">
        <v>10235</v>
      </c>
      <c r="B885">
        <v>33</v>
      </c>
      <c r="C885">
        <v>60.05</v>
      </c>
      <c r="D885">
        <v>12</v>
      </c>
      <c r="E885" s="1">
        <v>38021</v>
      </c>
      <c r="F885" t="s">
        <v>0</v>
      </c>
      <c r="G885">
        <v>2</v>
      </c>
      <c r="H885">
        <v>2004</v>
      </c>
      <c r="I885" t="s">
        <v>53</v>
      </c>
      <c r="J885" t="s">
        <v>104</v>
      </c>
      <c r="K885" t="s">
        <v>259</v>
      </c>
      <c r="L885" t="s">
        <v>260</v>
      </c>
      <c r="M885" t="s">
        <v>261</v>
      </c>
      <c r="N885" t="s">
        <v>208</v>
      </c>
      <c r="O885" t="s">
        <v>262</v>
      </c>
      <c r="P885" t="s">
        <v>210</v>
      </c>
      <c r="Q885" t="s">
        <v>6</v>
      </c>
      <c r="R885" t="s">
        <v>359</v>
      </c>
      <c r="S885" t="s">
        <v>7</v>
      </c>
      <c r="T885" t="s">
        <v>327</v>
      </c>
      <c r="U885">
        <f>Sales_Order[[#This Row],[Quantity ordered]]*Sales_Order[[#This Row],[Price each]]</f>
        <v>1981.6499999999999</v>
      </c>
    </row>
    <row r="886" spans="1:21" x14ac:dyDescent="0.3">
      <c r="A886">
        <v>10250</v>
      </c>
      <c r="B886">
        <v>40</v>
      </c>
      <c r="C886">
        <v>75.06</v>
      </c>
      <c r="D886">
        <v>13</v>
      </c>
      <c r="E886" s="1">
        <v>38296</v>
      </c>
      <c r="F886" t="s">
        <v>0</v>
      </c>
      <c r="G886">
        <v>2</v>
      </c>
      <c r="H886">
        <v>2004</v>
      </c>
      <c r="I886" t="s">
        <v>53</v>
      </c>
      <c r="J886" t="s">
        <v>104</v>
      </c>
      <c r="K886" t="s">
        <v>272</v>
      </c>
      <c r="L886" t="s">
        <v>273</v>
      </c>
      <c r="M886" t="s">
        <v>274</v>
      </c>
      <c r="N886" t="s">
        <v>161</v>
      </c>
      <c r="O886" t="s">
        <v>166</v>
      </c>
      <c r="P886" t="s">
        <v>5</v>
      </c>
      <c r="Q886" t="s">
        <v>6</v>
      </c>
      <c r="R886" t="s">
        <v>363</v>
      </c>
      <c r="S886" t="s">
        <v>8</v>
      </c>
      <c r="T886" t="s">
        <v>329</v>
      </c>
      <c r="U886">
        <f>Sales_Order[[#This Row],[Quantity ordered]]*Sales_Order[[#This Row],[Price each]]</f>
        <v>3002.4</v>
      </c>
    </row>
    <row r="887" spans="1:21" x14ac:dyDescent="0.3">
      <c r="A887">
        <v>10308</v>
      </c>
      <c r="B887">
        <v>43</v>
      </c>
      <c r="C887">
        <v>76.430000000000007</v>
      </c>
      <c r="D887">
        <v>16</v>
      </c>
      <c r="E887" s="1">
        <v>38275</v>
      </c>
      <c r="F887" t="s">
        <v>0</v>
      </c>
      <c r="G887">
        <v>4</v>
      </c>
      <c r="H887">
        <v>2004</v>
      </c>
      <c r="I887" t="s">
        <v>53</v>
      </c>
      <c r="J887" t="s">
        <v>104</v>
      </c>
      <c r="K887" t="s">
        <v>248</v>
      </c>
      <c r="L887" t="s">
        <v>249</v>
      </c>
      <c r="M887" t="s">
        <v>250</v>
      </c>
      <c r="N887" t="s">
        <v>4</v>
      </c>
      <c r="O887" t="s">
        <v>251</v>
      </c>
      <c r="P887" t="s">
        <v>5</v>
      </c>
      <c r="Q887" t="s">
        <v>6</v>
      </c>
      <c r="R887" t="s">
        <v>356</v>
      </c>
      <c r="S887" t="s">
        <v>8</v>
      </c>
      <c r="T887" t="s">
        <v>324</v>
      </c>
      <c r="U887">
        <f>Sales_Order[[#This Row],[Quantity ordered]]*Sales_Order[[#This Row],[Price each]]</f>
        <v>3286.4900000000002</v>
      </c>
    </row>
    <row r="888" spans="1:21" x14ac:dyDescent="0.3">
      <c r="A888">
        <v>10316</v>
      </c>
      <c r="B888">
        <v>30</v>
      </c>
      <c r="C888">
        <v>77.790000000000006</v>
      </c>
      <c r="D888">
        <v>8</v>
      </c>
      <c r="E888" s="1">
        <v>37997</v>
      </c>
      <c r="F888" t="s">
        <v>0</v>
      </c>
      <c r="G888">
        <v>4</v>
      </c>
      <c r="H888">
        <v>2004</v>
      </c>
      <c r="I888" t="s">
        <v>53</v>
      </c>
      <c r="J888" t="s">
        <v>104</v>
      </c>
      <c r="K888" t="s">
        <v>267</v>
      </c>
      <c r="L888" t="s">
        <v>268</v>
      </c>
      <c r="M888" t="s">
        <v>269</v>
      </c>
      <c r="N888" t="s">
        <v>270</v>
      </c>
      <c r="O888" t="s">
        <v>271</v>
      </c>
      <c r="P888" t="s">
        <v>193</v>
      </c>
      <c r="Q888" t="s">
        <v>157</v>
      </c>
      <c r="R888" t="s">
        <v>362</v>
      </c>
      <c r="S888" t="s">
        <v>7</v>
      </c>
      <c r="T888" t="s">
        <v>334</v>
      </c>
      <c r="U888">
        <f>Sales_Order[[#This Row],[Quantity ordered]]*Sales_Order[[#This Row],[Price each]]</f>
        <v>2333.7000000000003</v>
      </c>
    </row>
    <row r="889" spans="1:21" x14ac:dyDescent="0.3">
      <c r="A889">
        <v>10339</v>
      </c>
      <c r="B889">
        <v>45</v>
      </c>
      <c r="C889">
        <v>96.92</v>
      </c>
      <c r="D889">
        <v>11</v>
      </c>
      <c r="E889" s="1">
        <v>38314</v>
      </c>
      <c r="F889" t="s">
        <v>0</v>
      </c>
      <c r="G889">
        <v>4</v>
      </c>
      <c r="H889">
        <v>2004</v>
      </c>
      <c r="I889" t="s">
        <v>53</v>
      </c>
      <c r="J889" t="s">
        <v>104</v>
      </c>
      <c r="K889" t="s">
        <v>220</v>
      </c>
      <c r="L889" t="s">
        <v>221</v>
      </c>
      <c r="M889" t="s">
        <v>222</v>
      </c>
      <c r="N889" t="s">
        <v>223</v>
      </c>
      <c r="O889" t="s">
        <v>224</v>
      </c>
      <c r="P889" t="s">
        <v>195</v>
      </c>
      <c r="Q889" t="s">
        <v>195</v>
      </c>
      <c r="R889" t="s">
        <v>348</v>
      </c>
      <c r="S889" t="s">
        <v>8</v>
      </c>
      <c r="T889" t="s">
        <v>334</v>
      </c>
      <c r="U889">
        <f>Sales_Order[[#This Row],[Quantity ordered]]*Sales_Order[[#This Row],[Price each]]</f>
        <v>4361.3999999999996</v>
      </c>
    </row>
    <row r="890" spans="1:21" x14ac:dyDescent="0.3">
      <c r="A890">
        <v>10361</v>
      </c>
      <c r="B890">
        <v>26</v>
      </c>
      <c r="C890">
        <v>100</v>
      </c>
      <c r="D890">
        <v>7</v>
      </c>
      <c r="E890" s="1">
        <v>38338</v>
      </c>
      <c r="F890" t="s">
        <v>0</v>
      </c>
      <c r="G890">
        <v>4</v>
      </c>
      <c r="H890">
        <v>2004</v>
      </c>
      <c r="I890" t="s">
        <v>53</v>
      </c>
      <c r="J890" t="s">
        <v>104</v>
      </c>
      <c r="K890" t="s">
        <v>18</v>
      </c>
      <c r="L890" t="s">
        <v>19</v>
      </c>
      <c r="M890" t="s">
        <v>20</v>
      </c>
      <c r="N890" t="s">
        <v>21</v>
      </c>
      <c r="O890" t="s">
        <v>136</v>
      </c>
      <c r="P890" t="s">
        <v>13</v>
      </c>
      <c r="Q890" t="s">
        <v>14</v>
      </c>
      <c r="R890" t="s">
        <v>335</v>
      </c>
      <c r="S890" t="s">
        <v>8</v>
      </c>
      <c r="T890" t="s">
        <v>336</v>
      </c>
      <c r="U890">
        <f>Sales_Order[[#This Row],[Quantity ordered]]*Sales_Order[[#This Row],[Price each]]</f>
        <v>2600</v>
      </c>
    </row>
    <row r="891" spans="1:21" x14ac:dyDescent="0.3">
      <c r="A891">
        <v>10401</v>
      </c>
      <c r="B891">
        <v>64</v>
      </c>
      <c r="C891">
        <v>60.05</v>
      </c>
      <c r="D891">
        <v>12</v>
      </c>
      <c r="E891" s="1">
        <v>38415</v>
      </c>
      <c r="F891" t="s">
        <v>275</v>
      </c>
      <c r="G891">
        <v>2</v>
      </c>
      <c r="H891">
        <v>2005</v>
      </c>
      <c r="I891" t="s">
        <v>53</v>
      </c>
      <c r="J891" t="s">
        <v>104</v>
      </c>
      <c r="K891" t="s">
        <v>168</v>
      </c>
      <c r="L891" t="s">
        <v>169</v>
      </c>
      <c r="M891" t="s">
        <v>170</v>
      </c>
      <c r="N891" t="s">
        <v>171</v>
      </c>
      <c r="O891" t="s">
        <v>172</v>
      </c>
      <c r="P891" t="s">
        <v>5</v>
      </c>
      <c r="Q891" t="s">
        <v>6</v>
      </c>
      <c r="R891" t="s">
        <v>328</v>
      </c>
      <c r="S891" t="s">
        <v>8</v>
      </c>
      <c r="T891" t="s">
        <v>327</v>
      </c>
      <c r="U891">
        <f>Sales_Order[[#This Row],[Quantity ordered]]*Sales_Order[[#This Row],[Price each]]</f>
        <v>3843.2</v>
      </c>
    </row>
    <row r="892" spans="1:21" x14ac:dyDescent="0.3">
      <c r="A892">
        <v>10100</v>
      </c>
      <c r="B892">
        <v>49</v>
      </c>
      <c r="C892">
        <v>34.47</v>
      </c>
      <c r="D892">
        <v>1</v>
      </c>
      <c r="E892" s="1">
        <v>37773</v>
      </c>
      <c r="F892" t="s">
        <v>0</v>
      </c>
      <c r="G892">
        <v>1</v>
      </c>
      <c r="H892">
        <v>2003</v>
      </c>
      <c r="I892" t="s">
        <v>49</v>
      </c>
      <c r="J892" t="s">
        <v>105</v>
      </c>
      <c r="K892" t="s">
        <v>228</v>
      </c>
      <c r="L892" t="s">
        <v>229</v>
      </c>
      <c r="M892" t="s">
        <v>230</v>
      </c>
      <c r="N892" t="s">
        <v>231</v>
      </c>
      <c r="O892" t="s">
        <v>232</v>
      </c>
      <c r="P892" t="s">
        <v>5</v>
      </c>
      <c r="Q892" t="s">
        <v>6</v>
      </c>
      <c r="R892" t="s">
        <v>350</v>
      </c>
      <c r="S892" t="s">
        <v>7</v>
      </c>
      <c r="T892" t="s">
        <v>345</v>
      </c>
      <c r="U892">
        <f>Sales_Order[[#This Row],[Quantity ordered]]*Sales_Order[[#This Row],[Price each]]</f>
        <v>1689.03</v>
      </c>
    </row>
    <row r="893" spans="1:21" x14ac:dyDescent="0.3">
      <c r="A893">
        <v>10124</v>
      </c>
      <c r="B893">
        <v>46</v>
      </c>
      <c r="C893">
        <v>33.229999999999997</v>
      </c>
      <c r="D893">
        <v>4</v>
      </c>
      <c r="E893" s="1">
        <v>37762</v>
      </c>
      <c r="F893" t="s">
        <v>0</v>
      </c>
      <c r="G893">
        <v>2</v>
      </c>
      <c r="H893">
        <v>2003</v>
      </c>
      <c r="I893" t="s">
        <v>49</v>
      </c>
      <c r="J893" t="s">
        <v>105</v>
      </c>
      <c r="K893" t="s">
        <v>290</v>
      </c>
      <c r="L893" t="s">
        <v>291</v>
      </c>
      <c r="M893" t="s">
        <v>292</v>
      </c>
      <c r="N893" t="s">
        <v>293</v>
      </c>
      <c r="O893" t="s">
        <v>294</v>
      </c>
      <c r="P893" t="s">
        <v>5</v>
      </c>
      <c r="Q893" t="s">
        <v>6</v>
      </c>
      <c r="R893" t="s">
        <v>370</v>
      </c>
      <c r="S893" t="s">
        <v>7</v>
      </c>
      <c r="T893" t="s">
        <v>329</v>
      </c>
      <c r="U893">
        <f>Sales_Order[[#This Row],[Quantity ordered]]*Sales_Order[[#This Row],[Price each]]</f>
        <v>1528.58</v>
      </c>
    </row>
    <row r="894" spans="1:21" x14ac:dyDescent="0.3">
      <c r="A894">
        <v>10149</v>
      </c>
      <c r="B894">
        <v>26</v>
      </c>
      <c r="C894">
        <v>38.979999999999997</v>
      </c>
      <c r="D894">
        <v>9</v>
      </c>
      <c r="E894" s="1">
        <v>37964</v>
      </c>
      <c r="F894" t="s">
        <v>0</v>
      </c>
      <c r="G894">
        <v>3</v>
      </c>
      <c r="H894">
        <v>2003</v>
      </c>
      <c r="I894" t="s">
        <v>49</v>
      </c>
      <c r="J894" t="s">
        <v>105</v>
      </c>
      <c r="K894" t="s">
        <v>286</v>
      </c>
      <c r="L894" t="s">
        <v>287</v>
      </c>
      <c r="M894" t="s">
        <v>288</v>
      </c>
      <c r="N894" t="s">
        <v>161</v>
      </c>
      <c r="O894" t="s">
        <v>166</v>
      </c>
      <c r="P894" t="s">
        <v>5</v>
      </c>
      <c r="Q894" t="s">
        <v>6</v>
      </c>
      <c r="R894" t="s">
        <v>369</v>
      </c>
      <c r="S894" t="s">
        <v>7</v>
      </c>
      <c r="T894" t="s">
        <v>361</v>
      </c>
      <c r="U894">
        <f>Sales_Order[[#This Row],[Quantity ordered]]*Sales_Order[[#This Row],[Price each]]</f>
        <v>1013.4799999999999</v>
      </c>
    </row>
    <row r="895" spans="1:21" x14ac:dyDescent="0.3">
      <c r="A895">
        <v>10182</v>
      </c>
      <c r="B895">
        <v>23</v>
      </c>
      <c r="C895">
        <v>42.26</v>
      </c>
      <c r="D895">
        <v>8</v>
      </c>
      <c r="E895" s="1">
        <v>37966</v>
      </c>
      <c r="F895" t="s">
        <v>0</v>
      </c>
      <c r="G895">
        <v>4</v>
      </c>
      <c r="H895">
        <v>2003</v>
      </c>
      <c r="I895" t="s">
        <v>49</v>
      </c>
      <c r="J895" t="s">
        <v>105</v>
      </c>
      <c r="K895" t="s">
        <v>225</v>
      </c>
      <c r="L895" t="s">
        <v>226</v>
      </c>
      <c r="M895" t="s">
        <v>227</v>
      </c>
      <c r="N895" t="s">
        <v>161</v>
      </c>
      <c r="O895" t="s">
        <v>177</v>
      </c>
      <c r="P895" t="s">
        <v>5</v>
      </c>
      <c r="Q895" t="s">
        <v>6</v>
      </c>
      <c r="R895" t="s">
        <v>349</v>
      </c>
      <c r="S895" t="s">
        <v>7</v>
      </c>
      <c r="T895" t="s">
        <v>334</v>
      </c>
      <c r="U895">
        <f>Sales_Order[[#This Row],[Quantity ordered]]*Sales_Order[[#This Row],[Price each]]</f>
        <v>971.9799999999999</v>
      </c>
    </row>
    <row r="896" spans="1:21" x14ac:dyDescent="0.3">
      <c r="A896">
        <v>10193</v>
      </c>
      <c r="B896">
        <v>22</v>
      </c>
      <c r="C896">
        <v>41.03</v>
      </c>
      <c r="D896">
        <v>12</v>
      </c>
      <c r="E896" s="1">
        <v>37946</v>
      </c>
      <c r="F896" t="s">
        <v>0</v>
      </c>
      <c r="G896">
        <v>4</v>
      </c>
      <c r="H896">
        <v>2003</v>
      </c>
      <c r="I896" t="s">
        <v>49</v>
      </c>
      <c r="J896" t="s">
        <v>105</v>
      </c>
      <c r="K896" t="s">
        <v>296</v>
      </c>
      <c r="L896" t="s">
        <v>297</v>
      </c>
      <c r="M896" t="s">
        <v>298</v>
      </c>
      <c r="N896" t="s">
        <v>12</v>
      </c>
      <c r="O896" t="s">
        <v>299</v>
      </c>
      <c r="P896" t="s">
        <v>13</v>
      </c>
      <c r="Q896" t="s">
        <v>14</v>
      </c>
      <c r="R896" t="s">
        <v>371</v>
      </c>
      <c r="S896" t="s">
        <v>7</v>
      </c>
      <c r="T896" t="s">
        <v>334</v>
      </c>
      <c r="U896">
        <f>Sales_Order[[#This Row],[Quantity ordered]]*Sales_Order[[#This Row],[Price each]]</f>
        <v>902.66000000000008</v>
      </c>
    </row>
    <row r="897" spans="1:21" x14ac:dyDescent="0.3">
      <c r="A897">
        <v>10204</v>
      </c>
      <c r="B897">
        <v>39</v>
      </c>
      <c r="C897">
        <v>33.229999999999997</v>
      </c>
      <c r="D897">
        <v>2</v>
      </c>
      <c r="E897" s="1">
        <v>37664</v>
      </c>
      <c r="F897" t="s">
        <v>0</v>
      </c>
      <c r="G897">
        <v>4</v>
      </c>
      <c r="H897">
        <v>2003</v>
      </c>
      <c r="I897" t="s">
        <v>49</v>
      </c>
      <c r="J897" t="s">
        <v>105</v>
      </c>
      <c r="K897" t="s">
        <v>36</v>
      </c>
      <c r="L897" t="s">
        <v>37</v>
      </c>
      <c r="M897" t="s">
        <v>3</v>
      </c>
      <c r="N897" t="s">
        <v>4</v>
      </c>
      <c r="O897" t="s">
        <v>135</v>
      </c>
      <c r="P897" t="s">
        <v>5</v>
      </c>
      <c r="Q897" t="s">
        <v>6</v>
      </c>
      <c r="R897" t="s">
        <v>366</v>
      </c>
      <c r="S897" t="s">
        <v>7</v>
      </c>
      <c r="T897" t="s">
        <v>336</v>
      </c>
      <c r="U897">
        <f>Sales_Order[[#This Row],[Quantity ordered]]*Sales_Order[[#This Row],[Price each]]</f>
        <v>1295.9699999999998</v>
      </c>
    </row>
    <row r="898" spans="1:21" x14ac:dyDescent="0.3">
      <c r="A898">
        <v>10242</v>
      </c>
      <c r="B898">
        <v>46</v>
      </c>
      <c r="C898">
        <v>36.93</v>
      </c>
      <c r="D898">
        <v>1</v>
      </c>
      <c r="E898" s="1">
        <v>38097</v>
      </c>
      <c r="F898" t="s">
        <v>0</v>
      </c>
      <c r="G898">
        <v>2</v>
      </c>
      <c r="H898">
        <v>2004</v>
      </c>
      <c r="I898" t="s">
        <v>49</v>
      </c>
      <c r="J898" t="s">
        <v>105</v>
      </c>
      <c r="K898" t="s">
        <v>41</v>
      </c>
      <c r="L898" t="s">
        <v>42</v>
      </c>
      <c r="M898" t="s">
        <v>3</v>
      </c>
      <c r="N898" t="s">
        <v>4</v>
      </c>
      <c r="O898" t="s">
        <v>135</v>
      </c>
      <c r="P898" t="s">
        <v>5</v>
      </c>
      <c r="Q898" t="s">
        <v>6</v>
      </c>
      <c r="R898" t="s">
        <v>367</v>
      </c>
      <c r="S898" t="s">
        <v>7</v>
      </c>
      <c r="T898" t="s">
        <v>327</v>
      </c>
      <c r="U898">
        <f>Sales_Order[[#This Row],[Quantity ordered]]*Sales_Order[[#This Row],[Price each]]</f>
        <v>1698.78</v>
      </c>
    </row>
    <row r="899" spans="1:21" x14ac:dyDescent="0.3">
      <c r="A899">
        <v>10312</v>
      </c>
      <c r="B899">
        <v>31</v>
      </c>
      <c r="C899">
        <v>35.29</v>
      </c>
      <c r="D899">
        <v>15</v>
      </c>
      <c r="E899" s="1">
        <v>38281</v>
      </c>
      <c r="F899" t="s">
        <v>0</v>
      </c>
      <c r="G899">
        <v>4</v>
      </c>
      <c r="H899">
        <v>2004</v>
      </c>
      <c r="I899" t="s">
        <v>49</v>
      </c>
      <c r="J899" t="s">
        <v>105</v>
      </c>
      <c r="K899" t="s">
        <v>225</v>
      </c>
      <c r="L899" t="s">
        <v>226</v>
      </c>
      <c r="M899" t="s">
        <v>227</v>
      </c>
      <c r="N899" t="s">
        <v>161</v>
      </c>
      <c r="O899" t="s">
        <v>177</v>
      </c>
      <c r="P899" t="s">
        <v>5</v>
      </c>
      <c r="Q899" t="s">
        <v>6</v>
      </c>
      <c r="R899" t="s">
        <v>349</v>
      </c>
      <c r="S899" t="s">
        <v>7</v>
      </c>
      <c r="T899" t="s">
        <v>324</v>
      </c>
      <c r="U899">
        <f>Sales_Order[[#This Row],[Quantity ordered]]*Sales_Order[[#This Row],[Price each]]</f>
        <v>1093.99</v>
      </c>
    </row>
    <row r="900" spans="1:21" x14ac:dyDescent="0.3">
      <c r="A900">
        <v>10346</v>
      </c>
      <c r="B900">
        <v>22</v>
      </c>
      <c r="C900">
        <v>97.44</v>
      </c>
      <c r="D900">
        <v>4</v>
      </c>
      <c r="E900" s="1">
        <v>38320</v>
      </c>
      <c r="F900" t="s">
        <v>0</v>
      </c>
      <c r="G900">
        <v>4</v>
      </c>
      <c r="H900">
        <v>2004</v>
      </c>
      <c r="I900" t="s">
        <v>49</v>
      </c>
      <c r="J900" t="s">
        <v>105</v>
      </c>
      <c r="K900" t="s">
        <v>290</v>
      </c>
      <c r="L900" t="s">
        <v>291</v>
      </c>
      <c r="M900" t="s">
        <v>292</v>
      </c>
      <c r="N900" t="s">
        <v>293</v>
      </c>
      <c r="O900" t="s">
        <v>294</v>
      </c>
      <c r="P900" t="s">
        <v>5</v>
      </c>
      <c r="Q900" t="s">
        <v>6</v>
      </c>
      <c r="R900" t="s">
        <v>370</v>
      </c>
      <c r="S900" t="s">
        <v>7</v>
      </c>
      <c r="T900" t="s">
        <v>334</v>
      </c>
      <c r="U900">
        <f>Sales_Order[[#This Row],[Quantity ordered]]*Sales_Order[[#This Row],[Price each]]</f>
        <v>2143.6799999999998</v>
      </c>
    </row>
    <row r="901" spans="1:21" x14ac:dyDescent="0.3">
      <c r="A901">
        <v>10368</v>
      </c>
      <c r="B901">
        <v>46</v>
      </c>
      <c r="C901">
        <v>37.340000000000003</v>
      </c>
      <c r="D901">
        <v>3</v>
      </c>
      <c r="E901" s="1">
        <v>38371</v>
      </c>
      <c r="F901" t="s">
        <v>0</v>
      </c>
      <c r="G901">
        <v>1</v>
      </c>
      <c r="H901">
        <v>2005</v>
      </c>
      <c r="I901" t="s">
        <v>49</v>
      </c>
      <c r="J901" t="s">
        <v>105</v>
      </c>
      <c r="K901" t="s">
        <v>225</v>
      </c>
      <c r="L901" t="s">
        <v>226</v>
      </c>
      <c r="M901" t="s">
        <v>227</v>
      </c>
      <c r="N901" t="s">
        <v>161</v>
      </c>
      <c r="O901" t="s">
        <v>177</v>
      </c>
      <c r="P901" t="s">
        <v>5</v>
      </c>
      <c r="Q901" t="s">
        <v>6</v>
      </c>
      <c r="R901" t="s">
        <v>349</v>
      </c>
      <c r="S901" t="s">
        <v>7</v>
      </c>
      <c r="T901" t="s">
        <v>345</v>
      </c>
      <c r="U901">
        <f>Sales_Order[[#This Row],[Quantity ordered]]*Sales_Order[[#This Row],[Price each]]</f>
        <v>1717.64</v>
      </c>
    </row>
    <row r="902" spans="1:21" x14ac:dyDescent="0.3">
      <c r="A902">
        <v>10408</v>
      </c>
      <c r="B902">
        <v>15</v>
      </c>
      <c r="C902">
        <v>36.93</v>
      </c>
      <c r="D902">
        <v>1</v>
      </c>
      <c r="E902" s="1">
        <v>38464</v>
      </c>
      <c r="F902" t="s">
        <v>0</v>
      </c>
      <c r="G902">
        <v>2</v>
      </c>
      <c r="H902">
        <v>2005</v>
      </c>
      <c r="I902" t="s">
        <v>49</v>
      </c>
      <c r="J902" t="s">
        <v>105</v>
      </c>
      <c r="K902" t="s">
        <v>220</v>
      </c>
      <c r="L902" t="s">
        <v>221</v>
      </c>
      <c r="M902" t="s">
        <v>222</v>
      </c>
      <c r="N902" t="s">
        <v>223</v>
      </c>
      <c r="O902" t="s">
        <v>224</v>
      </c>
      <c r="P902" t="s">
        <v>195</v>
      </c>
      <c r="Q902" t="s">
        <v>195</v>
      </c>
      <c r="R902" t="s">
        <v>348</v>
      </c>
      <c r="S902" t="s">
        <v>7</v>
      </c>
      <c r="T902" t="s">
        <v>327</v>
      </c>
      <c r="U902">
        <f>Sales_Order[[#This Row],[Quantity ordered]]*Sales_Order[[#This Row],[Price each]]</f>
        <v>553.95000000000005</v>
      </c>
    </row>
    <row r="903" spans="1:21" x14ac:dyDescent="0.3">
      <c r="A903">
        <v>10420</v>
      </c>
      <c r="B903">
        <v>15</v>
      </c>
      <c r="C903">
        <v>43.49</v>
      </c>
      <c r="D903">
        <v>3</v>
      </c>
      <c r="E903" s="1">
        <v>38501</v>
      </c>
      <c r="F903" t="s">
        <v>29</v>
      </c>
      <c r="G903">
        <v>2</v>
      </c>
      <c r="H903">
        <v>2005</v>
      </c>
      <c r="I903" t="s">
        <v>49</v>
      </c>
      <c r="J903" t="s">
        <v>105</v>
      </c>
      <c r="K903" t="s">
        <v>18</v>
      </c>
      <c r="L903" t="s">
        <v>19</v>
      </c>
      <c r="M903" t="s">
        <v>20</v>
      </c>
      <c r="N903" t="s">
        <v>21</v>
      </c>
      <c r="O903" t="s">
        <v>136</v>
      </c>
      <c r="P903" t="s">
        <v>13</v>
      </c>
      <c r="Q903" t="s">
        <v>14</v>
      </c>
      <c r="R903" t="s">
        <v>335</v>
      </c>
      <c r="S903" t="s">
        <v>7</v>
      </c>
      <c r="T903" t="s">
        <v>329</v>
      </c>
      <c r="U903">
        <f>Sales_Order[[#This Row],[Quantity ordered]]*Sales_Order[[#This Row],[Price each]]</f>
        <v>652.35</v>
      </c>
    </row>
    <row r="904" spans="1:21" x14ac:dyDescent="0.3">
      <c r="A904">
        <v>10115</v>
      </c>
      <c r="B904">
        <v>44</v>
      </c>
      <c r="C904">
        <v>100</v>
      </c>
      <c r="D904">
        <v>1</v>
      </c>
      <c r="E904" s="1">
        <v>37715</v>
      </c>
      <c r="F904" t="s">
        <v>0</v>
      </c>
      <c r="G904">
        <v>2</v>
      </c>
      <c r="H904">
        <v>2003</v>
      </c>
      <c r="I904" t="s">
        <v>22</v>
      </c>
      <c r="J904" t="s">
        <v>106</v>
      </c>
      <c r="K904" t="s">
        <v>24</v>
      </c>
      <c r="L904" t="s">
        <v>25</v>
      </c>
      <c r="M904" t="s">
        <v>3</v>
      </c>
      <c r="N904" t="s">
        <v>4</v>
      </c>
      <c r="O904" t="s">
        <v>135</v>
      </c>
      <c r="P904" t="s">
        <v>5</v>
      </c>
      <c r="Q904" t="s">
        <v>6</v>
      </c>
      <c r="R904" t="s">
        <v>340</v>
      </c>
      <c r="S904" t="s">
        <v>8</v>
      </c>
      <c r="T904" t="s">
        <v>327</v>
      </c>
      <c r="U904">
        <f>Sales_Order[[#This Row],[Quantity ordered]]*Sales_Order[[#This Row],[Price each]]</f>
        <v>4400</v>
      </c>
    </row>
    <row r="905" spans="1:21" x14ac:dyDescent="0.3">
      <c r="A905">
        <v>10127</v>
      </c>
      <c r="B905">
        <v>20</v>
      </c>
      <c r="C905">
        <v>96.99</v>
      </c>
      <c r="D905">
        <v>7</v>
      </c>
      <c r="E905" s="1">
        <v>37686</v>
      </c>
      <c r="F905" t="s">
        <v>0</v>
      </c>
      <c r="G905">
        <v>2</v>
      </c>
      <c r="H905">
        <v>2003</v>
      </c>
      <c r="I905" t="s">
        <v>22</v>
      </c>
      <c r="J905" t="s">
        <v>106</v>
      </c>
      <c r="K905" t="s">
        <v>36</v>
      </c>
      <c r="L905" t="s">
        <v>37</v>
      </c>
      <c r="M905" t="s">
        <v>3</v>
      </c>
      <c r="N905" t="s">
        <v>4</v>
      </c>
      <c r="O905" t="s">
        <v>135</v>
      </c>
      <c r="P905" t="s">
        <v>5</v>
      </c>
      <c r="Q905" t="s">
        <v>6</v>
      </c>
      <c r="R905" t="s">
        <v>366</v>
      </c>
      <c r="S905" t="s">
        <v>7</v>
      </c>
      <c r="T905" t="s">
        <v>331</v>
      </c>
      <c r="U905">
        <f>Sales_Order[[#This Row],[Quantity ordered]]*Sales_Order[[#This Row],[Price each]]</f>
        <v>1939.8</v>
      </c>
    </row>
    <row r="906" spans="1:21" x14ac:dyDescent="0.3">
      <c r="A906">
        <v>10152</v>
      </c>
      <c r="B906">
        <v>23</v>
      </c>
      <c r="C906">
        <v>100</v>
      </c>
      <c r="D906">
        <v>3</v>
      </c>
      <c r="E906" s="1">
        <v>37889</v>
      </c>
      <c r="F906" t="s">
        <v>0</v>
      </c>
      <c r="G906">
        <v>3</v>
      </c>
      <c r="H906">
        <v>2003</v>
      </c>
      <c r="I906" t="s">
        <v>22</v>
      </c>
      <c r="J906" t="s">
        <v>106</v>
      </c>
      <c r="K906" t="s">
        <v>196</v>
      </c>
      <c r="L906" t="s">
        <v>197</v>
      </c>
      <c r="M906" t="s">
        <v>198</v>
      </c>
      <c r="N906" t="s">
        <v>199</v>
      </c>
      <c r="O906" t="s">
        <v>200</v>
      </c>
      <c r="P906" t="s">
        <v>13</v>
      </c>
      <c r="Q906" t="s">
        <v>14</v>
      </c>
      <c r="R906" t="s">
        <v>341</v>
      </c>
      <c r="S906" t="s">
        <v>7</v>
      </c>
      <c r="T906" t="s">
        <v>361</v>
      </c>
      <c r="U906">
        <f>Sales_Order[[#This Row],[Quantity ordered]]*Sales_Order[[#This Row],[Price each]]</f>
        <v>2300</v>
      </c>
    </row>
    <row r="907" spans="1:21" x14ac:dyDescent="0.3">
      <c r="A907">
        <v>10195</v>
      </c>
      <c r="B907">
        <v>34</v>
      </c>
      <c r="C907">
        <v>100</v>
      </c>
      <c r="D907">
        <v>2</v>
      </c>
      <c r="E907" s="1">
        <v>37950</v>
      </c>
      <c r="F907" t="s">
        <v>0</v>
      </c>
      <c r="G907">
        <v>4</v>
      </c>
      <c r="H907">
        <v>2003</v>
      </c>
      <c r="I907" t="s">
        <v>22</v>
      </c>
      <c r="J907" t="s">
        <v>106</v>
      </c>
      <c r="K907" t="s">
        <v>248</v>
      </c>
      <c r="L907" t="s">
        <v>249</v>
      </c>
      <c r="M907" t="s">
        <v>250</v>
      </c>
      <c r="N907" t="s">
        <v>4</v>
      </c>
      <c r="O907" t="s">
        <v>251</v>
      </c>
      <c r="P907" t="s">
        <v>5</v>
      </c>
      <c r="Q907" t="s">
        <v>6</v>
      </c>
      <c r="R907" t="s">
        <v>356</v>
      </c>
      <c r="S907" t="s">
        <v>8</v>
      </c>
      <c r="T907" t="s">
        <v>334</v>
      </c>
      <c r="U907">
        <f>Sales_Order[[#This Row],[Quantity ordered]]*Sales_Order[[#This Row],[Price each]]</f>
        <v>3400</v>
      </c>
    </row>
    <row r="908" spans="1:21" x14ac:dyDescent="0.3">
      <c r="A908">
        <v>10207</v>
      </c>
      <c r="B908">
        <v>28</v>
      </c>
      <c r="C908">
        <v>100</v>
      </c>
      <c r="D908">
        <v>3</v>
      </c>
      <c r="E908" s="1">
        <v>37876</v>
      </c>
      <c r="F908" t="s">
        <v>0</v>
      </c>
      <c r="G908">
        <v>4</v>
      </c>
      <c r="H908">
        <v>2003</v>
      </c>
      <c r="I908" t="s">
        <v>22</v>
      </c>
      <c r="J908" t="s">
        <v>106</v>
      </c>
      <c r="K908" t="s">
        <v>277</v>
      </c>
      <c r="L908" t="s">
        <v>278</v>
      </c>
      <c r="M908" t="s">
        <v>265</v>
      </c>
      <c r="N908" t="s">
        <v>181</v>
      </c>
      <c r="O908" t="s">
        <v>266</v>
      </c>
      <c r="P908" t="s">
        <v>5</v>
      </c>
      <c r="Q908" t="s">
        <v>6</v>
      </c>
      <c r="R908" t="s">
        <v>364</v>
      </c>
      <c r="S908" t="s">
        <v>7</v>
      </c>
      <c r="T908" t="s">
        <v>336</v>
      </c>
      <c r="U908">
        <f>Sales_Order[[#This Row],[Quantity ordered]]*Sales_Order[[#This Row],[Price each]]</f>
        <v>2800</v>
      </c>
    </row>
    <row r="909" spans="1:21" x14ac:dyDescent="0.3">
      <c r="A909">
        <v>10271</v>
      </c>
      <c r="B909">
        <v>22</v>
      </c>
      <c r="C909">
        <v>100</v>
      </c>
      <c r="D909">
        <v>1</v>
      </c>
      <c r="E909" s="1">
        <v>38188</v>
      </c>
      <c r="F909" t="s">
        <v>0</v>
      </c>
      <c r="G909">
        <v>3</v>
      </c>
      <c r="H909">
        <v>2004</v>
      </c>
      <c r="I909" t="s">
        <v>22</v>
      </c>
      <c r="J909" t="s">
        <v>106</v>
      </c>
      <c r="K909" t="s">
        <v>225</v>
      </c>
      <c r="L909" t="s">
        <v>226</v>
      </c>
      <c r="M909" t="s">
        <v>227</v>
      </c>
      <c r="N909" t="s">
        <v>161</v>
      </c>
      <c r="O909" t="s">
        <v>177</v>
      </c>
      <c r="P909" t="s">
        <v>5</v>
      </c>
      <c r="Q909" t="s">
        <v>6</v>
      </c>
      <c r="R909" t="s">
        <v>349</v>
      </c>
      <c r="S909" t="s">
        <v>8</v>
      </c>
      <c r="T909" t="s">
        <v>339</v>
      </c>
      <c r="U909">
        <f>Sales_Order[[#This Row],[Quantity ordered]]*Sales_Order[[#This Row],[Price each]]</f>
        <v>2200</v>
      </c>
    </row>
    <row r="910" spans="1:21" x14ac:dyDescent="0.3">
      <c r="A910">
        <v>10282</v>
      </c>
      <c r="B910">
        <v>39</v>
      </c>
      <c r="C910">
        <v>100</v>
      </c>
      <c r="D910">
        <v>10</v>
      </c>
      <c r="E910" s="1">
        <v>38219</v>
      </c>
      <c r="F910" t="s">
        <v>0</v>
      </c>
      <c r="G910">
        <v>3</v>
      </c>
      <c r="H910">
        <v>2004</v>
      </c>
      <c r="I910" t="s">
        <v>22</v>
      </c>
      <c r="J910" t="s">
        <v>106</v>
      </c>
      <c r="K910" t="s">
        <v>225</v>
      </c>
      <c r="L910" t="s">
        <v>226</v>
      </c>
      <c r="M910" t="s">
        <v>227</v>
      </c>
      <c r="N910" t="s">
        <v>161</v>
      </c>
      <c r="O910" t="s">
        <v>177</v>
      </c>
      <c r="P910" t="s">
        <v>5</v>
      </c>
      <c r="Q910" t="s">
        <v>6</v>
      </c>
      <c r="R910" t="s">
        <v>349</v>
      </c>
      <c r="S910" t="s">
        <v>8</v>
      </c>
      <c r="T910" t="s">
        <v>322</v>
      </c>
      <c r="U910">
        <f>Sales_Order[[#This Row],[Quantity ordered]]*Sales_Order[[#This Row],[Price each]]</f>
        <v>3900</v>
      </c>
    </row>
    <row r="911" spans="1:21" x14ac:dyDescent="0.3">
      <c r="A911">
        <v>10292</v>
      </c>
      <c r="B911">
        <v>27</v>
      </c>
      <c r="C911">
        <v>100</v>
      </c>
      <c r="D911">
        <v>4</v>
      </c>
      <c r="E911" s="1">
        <v>38208</v>
      </c>
      <c r="F911" t="s">
        <v>0</v>
      </c>
      <c r="G911">
        <v>3</v>
      </c>
      <c r="H911">
        <v>2004</v>
      </c>
      <c r="I911" t="s">
        <v>22</v>
      </c>
      <c r="J911" t="s">
        <v>106</v>
      </c>
      <c r="K911" t="s">
        <v>155</v>
      </c>
      <c r="L911" t="s">
        <v>156</v>
      </c>
      <c r="M911" t="s">
        <v>3</v>
      </c>
      <c r="N911" t="s">
        <v>4</v>
      </c>
      <c r="O911" t="s">
        <v>135</v>
      </c>
      <c r="P911" t="s">
        <v>5</v>
      </c>
      <c r="Q911" t="s">
        <v>6</v>
      </c>
      <c r="R911" t="s">
        <v>319</v>
      </c>
      <c r="S911" t="s">
        <v>8</v>
      </c>
      <c r="T911" t="s">
        <v>361</v>
      </c>
      <c r="U911">
        <f>Sales_Order[[#This Row],[Quantity ordered]]*Sales_Order[[#This Row],[Price each]]</f>
        <v>2700</v>
      </c>
    </row>
    <row r="912" spans="1:21" x14ac:dyDescent="0.3">
      <c r="A912">
        <v>10305</v>
      </c>
      <c r="B912">
        <v>36</v>
      </c>
      <c r="C912">
        <v>100</v>
      </c>
      <c r="D912">
        <v>1</v>
      </c>
      <c r="E912" s="1">
        <v>38273</v>
      </c>
      <c r="F912" t="s">
        <v>0</v>
      </c>
      <c r="G912">
        <v>4</v>
      </c>
      <c r="H912">
        <v>2004</v>
      </c>
      <c r="I912" t="s">
        <v>22</v>
      </c>
      <c r="J912" t="s">
        <v>106</v>
      </c>
      <c r="K912" t="s">
        <v>178</v>
      </c>
      <c r="L912" t="s">
        <v>179</v>
      </c>
      <c r="M912" t="s">
        <v>180</v>
      </c>
      <c r="N912" t="s">
        <v>181</v>
      </c>
      <c r="O912" t="s">
        <v>182</v>
      </c>
      <c r="P912" t="s">
        <v>5</v>
      </c>
      <c r="Q912" t="s">
        <v>6</v>
      </c>
      <c r="R912" t="s">
        <v>332</v>
      </c>
      <c r="S912" t="s">
        <v>8</v>
      </c>
      <c r="T912" t="s">
        <v>324</v>
      </c>
      <c r="U912">
        <f>Sales_Order[[#This Row],[Quantity ordered]]*Sales_Order[[#This Row],[Price each]]</f>
        <v>3600</v>
      </c>
    </row>
    <row r="913" spans="1:21" x14ac:dyDescent="0.3">
      <c r="A913">
        <v>10349</v>
      </c>
      <c r="B913">
        <v>23</v>
      </c>
      <c r="C913">
        <v>100</v>
      </c>
      <c r="D913">
        <v>2</v>
      </c>
      <c r="E913" s="1">
        <v>37998</v>
      </c>
      <c r="F913" t="s">
        <v>0</v>
      </c>
      <c r="G913">
        <v>4</v>
      </c>
      <c r="H913">
        <v>2004</v>
      </c>
      <c r="I913" t="s">
        <v>22</v>
      </c>
      <c r="J913" t="s">
        <v>106</v>
      </c>
      <c r="K913" t="s">
        <v>36</v>
      </c>
      <c r="L913" t="s">
        <v>37</v>
      </c>
      <c r="M913" t="s">
        <v>3</v>
      </c>
      <c r="N913" t="s">
        <v>4</v>
      </c>
      <c r="O913" t="s">
        <v>135</v>
      </c>
      <c r="P913" t="s">
        <v>5</v>
      </c>
      <c r="Q913" t="s">
        <v>6</v>
      </c>
      <c r="R913" t="s">
        <v>366</v>
      </c>
      <c r="S913" t="s">
        <v>8</v>
      </c>
      <c r="T913" t="s">
        <v>336</v>
      </c>
      <c r="U913">
        <f>Sales_Order[[#This Row],[Quantity ordered]]*Sales_Order[[#This Row],[Price each]]</f>
        <v>2300</v>
      </c>
    </row>
    <row r="914" spans="1:21" x14ac:dyDescent="0.3">
      <c r="A914">
        <v>10371</v>
      </c>
      <c r="B914">
        <v>28</v>
      </c>
      <c r="C914">
        <v>50.32</v>
      </c>
      <c r="D914">
        <v>9</v>
      </c>
      <c r="E914" s="1">
        <v>38375</v>
      </c>
      <c r="F914" t="s">
        <v>0</v>
      </c>
      <c r="G914">
        <v>1</v>
      </c>
      <c r="H914">
        <v>2005</v>
      </c>
      <c r="I914" t="s">
        <v>22</v>
      </c>
      <c r="J914" t="s">
        <v>106</v>
      </c>
      <c r="K914" t="s">
        <v>225</v>
      </c>
      <c r="L914" t="s">
        <v>226</v>
      </c>
      <c r="M914" t="s">
        <v>227</v>
      </c>
      <c r="N914" t="s">
        <v>161</v>
      </c>
      <c r="O914" t="s">
        <v>177</v>
      </c>
      <c r="P914" t="s">
        <v>5</v>
      </c>
      <c r="Q914" t="s">
        <v>6</v>
      </c>
      <c r="R914" t="s">
        <v>349</v>
      </c>
      <c r="S914" t="s">
        <v>7</v>
      </c>
      <c r="T914" t="s">
        <v>345</v>
      </c>
      <c r="U914">
        <f>Sales_Order[[#This Row],[Quantity ordered]]*Sales_Order[[#This Row],[Price each]]</f>
        <v>1408.96</v>
      </c>
    </row>
    <row r="915" spans="1:21" x14ac:dyDescent="0.3">
      <c r="A915">
        <v>10139</v>
      </c>
      <c r="B915">
        <v>29</v>
      </c>
      <c r="C915">
        <v>100</v>
      </c>
      <c r="D915">
        <v>4</v>
      </c>
      <c r="E915" s="1">
        <v>37818</v>
      </c>
      <c r="F915" t="s">
        <v>0</v>
      </c>
      <c r="G915">
        <v>3</v>
      </c>
      <c r="H915">
        <v>2003</v>
      </c>
      <c r="I915" t="s">
        <v>49</v>
      </c>
      <c r="J915" t="s">
        <v>107</v>
      </c>
      <c r="K915" t="s">
        <v>18</v>
      </c>
      <c r="L915" t="s">
        <v>19</v>
      </c>
      <c r="M915" t="s">
        <v>20</v>
      </c>
      <c r="N915" t="s">
        <v>21</v>
      </c>
      <c r="O915" t="s">
        <v>136</v>
      </c>
      <c r="P915" t="s">
        <v>13</v>
      </c>
      <c r="Q915" t="s">
        <v>14</v>
      </c>
      <c r="R915" t="s">
        <v>335</v>
      </c>
      <c r="S915" t="s">
        <v>8</v>
      </c>
      <c r="T915" t="s">
        <v>339</v>
      </c>
      <c r="U915">
        <f>Sales_Order[[#This Row],[Quantity ordered]]*Sales_Order[[#This Row],[Price each]]</f>
        <v>2900</v>
      </c>
    </row>
    <row r="916" spans="1:21" x14ac:dyDescent="0.3">
      <c r="A916">
        <v>10149</v>
      </c>
      <c r="B916">
        <v>20</v>
      </c>
      <c r="C916">
        <v>90.57</v>
      </c>
      <c r="D916">
        <v>1</v>
      </c>
      <c r="E916" s="1">
        <v>37964</v>
      </c>
      <c r="F916" t="s">
        <v>0</v>
      </c>
      <c r="G916">
        <v>3</v>
      </c>
      <c r="H916">
        <v>2003</v>
      </c>
      <c r="I916" t="s">
        <v>49</v>
      </c>
      <c r="J916" t="s">
        <v>107</v>
      </c>
      <c r="K916" t="s">
        <v>286</v>
      </c>
      <c r="L916" t="s">
        <v>287</v>
      </c>
      <c r="M916" t="s">
        <v>288</v>
      </c>
      <c r="N916" t="s">
        <v>161</v>
      </c>
      <c r="O916" t="s">
        <v>166</v>
      </c>
      <c r="P916" t="s">
        <v>5</v>
      </c>
      <c r="Q916" t="s">
        <v>6</v>
      </c>
      <c r="R916" t="s">
        <v>369</v>
      </c>
      <c r="S916" t="s">
        <v>7</v>
      </c>
      <c r="T916" t="s">
        <v>361</v>
      </c>
      <c r="U916">
        <f>Sales_Order[[#This Row],[Quantity ordered]]*Sales_Order[[#This Row],[Price each]]</f>
        <v>1811.3999999999999</v>
      </c>
    </row>
    <row r="917" spans="1:21" x14ac:dyDescent="0.3">
      <c r="A917">
        <v>10163</v>
      </c>
      <c r="B917">
        <v>42</v>
      </c>
      <c r="C917">
        <v>91.55</v>
      </c>
      <c r="D917">
        <v>5</v>
      </c>
      <c r="E917" s="1">
        <v>37914</v>
      </c>
      <c r="F917" t="s">
        <v>0</v>
      </c>
      <c r="G917">
        <v>4</v>
      </c>
      <c r="H917">
        <v>2003</v>
      </c>
      <c r="I917" t="s">
        <v>49</v>
      </c>
      <c r="J917" t="s">
        <v>107</v>
      </c>
      <c r="K917" t="s">
        <v>24</v>
      </c>
      <c r="L917" t="s">
        <v>25</v>
      </c>
      <c r="M917" t="s">
        <v>3</v>
      </c>
      <c r="N917" t="s">
        <v>4</v>
      </c>
      <c r="O917" t="s">
        <v>135</v>
      </c>
      <c r="P917" t="s">
        <v>5</v>
      </c>
      <c r="Q917" t="s">
        <v>6</v>
      </c>
      <c r="R917" t="s">
        <v>340</v>
      </c>
      <c r="S917" t="s">
        <v>8</v>
      </c>
      <c r="T917" t="s">
        <v>324</v>
      </c>
      <c r="U917">
        <f>Sales_Order[[#This Row],[Quantity ordered]]*Sales_Order[[#This Row],[Price each]]</f>
        <v>3845.1</v>
      </c>
    </row>
    <row r="918" spans="1:21" x14ac:dyDescent="0.3">
      <c r="A918">
        <v>10183</v>
      </c>
      <c r="B918">
        <v>47</v>
      </c>
      <c r="C918">
        <v>100</v>
      </c>
      <c r="D918">
        <v>12</v>
      </c>
      <c r="E918" s="1">
        <v>37938</v>
      </c>
      <c r="F918" t="s">
        <v>0</v>
      </c>
      <c r="G918">
        <v>4</v>
      </c>
      <c r="H918">
        <v>2003</v>
      </c>
      <c r="I918" t="s">
        <v>49</v>
      </c>
      <c r="J918" t="s">
        <v>107</v>
      </c>
      <c r="K918" t="s">
        <v>201</v>
      </c>
      <c r="L918" t="s">
        <v>202</v>
      </c>
      <c r="M918" t="s">
        <v>203</v>
      </c>
      <c r="N918" t="s">
        <v>186</v>
      </c>
      <c r="O918" t="s">
        <v>204</v>
      </c>
      <c r="P918" t="s">
        <v>5</v>
      </c>
      <c r="Q918" t="s">
        <v>6</v>
      </c>
      <c r="R918" t="s">
        <v>342</v>
      </c>
      <c r="S918" t="s">
        <v>8</v>
      </c>
      <c r="T918" t="s">
        <v>334</v>
      </c>
      <c r="U918">
        <f>Sales_Order[[#This Row],[Quantity ordered]]*Sales_Order[[#This Row],[Price each]]</f>
        <v>4700</v>
      </c>
    </row>
    <row r="919" spans="1:21" x14ac:dyDescent="0.3">
      <c r="A919">
        <v>10193</v>
      </c>
      <c r="B919">
        <v>20</v>
      </c>
      <c r="C919">
        <v>100</v>
      </c>
      <c r="D919">
        <v>4</v>
      </c>
      <c r="E919" s="1">
        <v>37946</v>
      </c>
      <c r="F919" t="s">
        <v>0</v>
      </c>
      <c r="G919">
        <v>4</v>
      </c>
      <c r="H919">
        <v>2003</v>
      </c>
      <c r="I919" t="s">
        <v>49</v>
      </c>
      <c r="J919" t="s">
        <v>107</v>
      </c>
      <c r="K919" t="s">
        <v>296</v>
      </c>
      <c r="L919" t="s">
        <v>297</v>
      </c>
      <c r="M919" t="s">
        <v>298</v>
      </c>
      <c r="N919" t="s">
        <v>12</v>
      </c>
      <c r="O919" t="s">
        <v>299</v>
      </c>
      <c r="P919" t="s">
        <v>13</v>
      </c>
      <c r="Q919" t="s">
        <v>14</v>
      </c>
      <c r="R919" t="s">
        <v>371</v>
      </c>
      <c r="S919" t="s">
        <v>7</v>
      </c>
      <c r="T919" t="s">
        <v>334</v>
      </c>
      <c r="U919">
        <f>Sales_Order[[#This Row],[Quantity ordered]]*Sales_Order[[#This Row],[Price each]]</f>
        <v>2000</v>
      </c>
    </row>
    <row r="920" spans="1:21" x14ac:dyDescent="0.3">
      <c r="A920">
        <v>10206</v>
      </c>
      <c r="B920">
        <v>33</v>
      </c>
      <c r="C920">
        <v>97.39</v>
      </c>
      <c r="D920">
        <v>10</v>
      </c>
      <c r="E920" s="1">
        <v>37753</v>
      </c>
      <c r="F920" t="s">
        <v>0</v>
      </c>
      <c r="G920">
        <v>4</v>
      </c>
      <c r="H920">
        <v>2003</v>
      </c>
      <c r="I920" t="s">
        <v>49</v>
      </c>
      <c r="J920" t="s">
        <v>107</v>
      </c>
      <c r="K920" t="s">
        <v>205</v>
      </c>
      <c r="L920" t="s">
        <v>206</v>
      </c>
      <c r="M920" t="s">
        <v>207</v>
      </c>
      <c r="N920" t="s">
        <v>208</v>
      </c>
      <c r="O920" t="s">
        <v>209</v>
      </c>
      <c r="P920" t="s">
        <v>210</v>
      </c>
      <c r="Q920" t="s">
        <v>6</v>
      </c>
      <c r="R920" t="s">
        <v>343</v>
      </c>
      <c r="S920" t="s">
        <v>8</v>
      </c>
      <c r="T920" t="s">
        <v>336</v>
      </c>
      <c r="U920">
        <f>Sales_Order[[#This Row],[Quantity ordered]]*Sales_Order[[#This Row],[Price each]]</f>
        <v>3213.87</v>
      </c>
    </row>
    <row r="921" spans="1:21" x14ac:dyDescent="0.3">
      <c r="A921">
        <v>10215</v>
      </c>
      <c r="B921">
        <v>39</v>
      </c>
      <c r="C921">
        <v>90.57</v>
      </c>
      <c r="D921">
        <v>7</v>
      </c>
      <c r="E921" s="1">
        <v>38015</v>
      </c>
      <c r="F921" t="s">
        <v>0</v>
      </c>
      <c r="G921">
        <v>1</v>
      </c>
      <c r="H921">
        <v>2004</v>
      </c>
      <c r="I921" t="s">
        <v>49</v>
      </c>
      <c r="J921" t="s">
        <v>107</v>
      </c>
      <c r="K921" t="s">
        <v>211</v>
      </c>
      <c r="L921" t="s">
        <v>212</v>
      </c>
      <c r="M921" t="s">
        <v>213</v>
      </c>
      <c r="N921" t="s">
        <v>161</v>
      </c>
      <c r="O921" t="s">
        <v>172</v>
      </c>
      <c r="P921" t="s">
        <v>5</v>
      </c>
      <c r="Q921" t="s">
        <v>6</v>
      </c>
      <c r="R921" t="s">
        <v>344</v>
      </c>
      <c r="S921" t="s">
        <v>8</v>
      </c>
      <c r="T921" t="s">
        <v>345</v>
      </c>
      <c r="U921">
        <f>Sales_Order[[#This Row],[Quantity ordered]]*Sales_Order[[#This Row],[Price each]]</f>
        <v>3532.2299999999996</v>
      </c>
    </row>
    <row r="922" spans="1:21" x14ac:dyDescent="0.3">
      <c r="A922">
        <v>10228</v>
      </c>
      <c r="B922">
        <v>33</v>
      </c>
      <c r="C922">
        <v>100</v>
      </c>
      <c r="D922">
        <v>6</v>
      </c>
      <c r="E922" s="1">
        <v>38263</v>
      </c>
      <c r="F922" t="s">
        <v>0</v>
      </c>
      <c r="G922">
        <v>1</v>
      </c>
      <c r="H922">
        <v>2004</v>
      </c>
      <c r="I922" t="s">
        <v>49</v>
      </c>
      <c r="J922" t="s">
        <v>107</v>
      </c>
      <c r="K922" t="s">
        <v>214</v>
      </c>
      <c r="L922" t="s">
        <v>215</v>
      </c>
      <c r="M922" t="s">
        <v>180</v>
      </c>
      <c r="N922" t="s">
        <v>181</v>
      </c>
      <c r="O922" t="s">
        <v>182</v>
      </c>
      <c r="P922" t="s">
        <v>5</v>
      </c>
      <c r="Q922" t="s">
        <v>6</v>
      </c>
      <c r="R922" t="s">
        <v>346</v>
      </c>
      <c r="S922" t="s">
        <v>8</v>
      </c>
      <c r="T922" t="s">
        <v>338</v>
      </c>
      <c r="U922">
        <f>Sales_Order[[#This Row],[Quantity ordered]]*Sales_Order[[#This Row],[Price each]]</f>
        <v>3300</v>
      </c>
    </row>
    <row r="923" spans="1:21" x14ac:dyDescent="0.3">
      <c r="A923">
        <v>10257</v>
      </c>
      <c r="B923">
        <v>46</v>
      </c>
      <c r="C923">
        <v>78.89</v>
      </c>
      <c r="D923">
        <v>4</v>
      </c>
      <c r="E923" s="1">
        <v>38152</v>
      </c>
      <c r="F923" t="s">
        <v>0</v>
      </c>
      <c r="G923">
        <v>2</v>
      </c>
      <c r="H923">
        <v>2004</v>
      </c>
      <c r="I923" t="s">
        <v>49</v>
      </c>
      <c r="J923" t="s">
        <v>107</v>
      </c>
      <c r="K923" t="s">
        <v>272</v>
      </c>
      <c r="L923" t="s">
        <v>273</v>
      </c>
      <c r="M923" t="s">
        <v>274</v>
      </c>
      <c r="N923" t="s">
        <v>161</v>
      </c>
      <c r="O923" t="s">
        <v>166</v>
      </c>
      <c r="P923" t="s">
        <v>5</v>
      </c>
      <c r="Q923" t="s">
        <v>6</v>
      </c>
      <c r="R923" t="s">
        <v>363</v>
      </c>
      <c r="S923" t="s">
        <v>8</v>
      </c>
      <c r="T923" t="s">
        <v>331</v>
      </c>
      <c r="U923">
        <f>Sales_Order[[#This Row],[Quantity ordered]]*Sales_Order[[#This Row],[Price each]]</f>
        <v>3628.94</v>
      </c>
    </row>
    <row r="924" spans="1:21" x14ac:dyDescent="0.3">
      <c r="A924">
        <v>10290</v>
      </c>
      <c r="B924">
        <v>45</v>
      </c>
      <c r="C924">
        <v>100</v>
      </c>
      <c r="D924">
        <v>1</v>
      </c>
      <c r="E924" s="1">
        <v>38177</v>
      </c>
      <c r="F924" t="s">
        <v>0</v>
      </c>
      <c r="G924">
        <v>3</v>
      </c>
      <c r="H924">
        <v>2004</v>
      </c>
      <c r="I924" t="s">
        <v>49</v>
      </c>
      <c r="J924" t="s">
        <v>107</v>
      </c>
      <c r="K924" t="s">
        <v>305</v>
      </c>
      <c r="L924" t="s">
        <v>306</v>
      </c>
      <c r="M924" t="s">
        <v>235</v>
      </c>
      <c r="N924" t="s">
        <v>181</v>
      </c>
      <c r="O924" t="s">
        <v>236</v>
      </c>
      <c r="P924" t="s">
        <v>5</v>
      </c>
      <c r="Q924" t="s">
        <v>6</v>
      </c>
      <c r="R924" t="s">
        <v>373</v>
      </c>
      <c r="S924" t="s">
        <v>8</v>
      </c>
      <c r="T924" t="s">
        <v>361</v>
      </c>
      <c r="U924">
        <f>Sales_Order[[#This Row],[Quantity ordered]]*Sales_Order[[#This Row],[Price each]]</f>
        <v>4500</v>
      </c>
    </row>
    <row r="925" spans="1:21" x14ac:dyDescent="0.3">
      <c r="A925">
        <v>10312</v>
      </c>
      <c r="B925">
        <v>44</v>
      </c>
      <c r="C925">
        <v>100</v>
      </c>
      <c r="D925">
        <v>7</v>
      </c>
      <c r="E925" s="1">
        <v>38281</v>
      </c>
      <c r="F925" t="s">
        <v>0</v>
      </c>
      <c r="G925">
        <v>4</v>
      </c>
      <c r="H925">
        <v>2004</v>
      </c>
      <c r="I925" t="s">
        <v>49</v>
      </c>
      <c r="J925" t="s">
        <v>107</v>
      </c>
      <c r="K925" t="s">
        <v>225</v>
      </c>
      <c r="L925" t="s">
        <v>226</v>
      </c>
      <c r="M925" t="s">
        <v>227</v>
      </c>
      <c r="N925" t="s">
        <v>161</v>
      </c>
      <c r="O925" t="s">
        <v>177</v>
      </c>
      <c r="P925" t="s">
        <v>5</v>
      </c>
      <c r="Q925" t="s">
        <v>6</v>
      </c>
      <c r="R925" t="s">
        <v>349</v>
      </c>
      <c r="S925" t="s">
        <v>8</v>
      </c>
      <c r="T925" t="s">
        <v>324</v>
      </c>
      <c r="U925">
        <f>Sales_Order[[#This Row],[Quantity ordered]]*Sales_Order[[#This Row],[Price each]]</f>
        <v>4400</v>
      </c>
    </row>
    <row r="926" spans="1:21" x14ac:dyDescent="0.3">
      <c r="A926">
        <v>10324</v>
      </c>
      <c r="B926">
        <v>33</v>
      </c>
      <c r="C926">
        <v>100</v>
      </c>
      <c r="D926">
        <v>3</v>
      </c>
      <c r="E926" s="1">
        <v>38118</v>
      </c>
      <c r="F926" t="s">
        <v>0</v>
      </c>
      <c r="G926">
        <v>4</v>
      </c>
      <c r="H926">
        <v>2004</v>
      </c>
      <c r="I926" t="s">
        <v>49</v>
      </c>
      <c r="J926" t="s">
        <v>107</v>
      </c>
      <c r="K926" t="s">
        <v>15</v>
      </c>
      <c r="L926" t="s">
        <v>16</v>
      </c>
      <c r="M926" t="s">
        <v>3</v>
      </c>
      <c r="N926" t="s">
        <v>4</v>
      </c>
      <c r="O926" t="s">
        <v>135</v>
      </c>
      <c r="P926" t="s">
        <v>5</v>
      </c>
      <c r="Q926" t="s">
        <v>6</v>
      </c>
      <c r="R926" t="s">
        <v>326</v>
      </c>
      <c r="S926" t="s">
        <v>8</v>
      </c>
      <c r="T926" t="s">
        <v>334</v>
      </c>
      <c r="U926">
        <f>Sales_Order[[#This Row],[Quantity ordered]]*Sales_Order[[#This Row],[Price each]]</f>
        <v>3300</v>
      </c>
    </row>
    <row r="927" spans="1:21" x14ac:dyDescent="0.3">
      <c r="A927">
        <v>10369</v>
      </c>
      <c r="B927">
        <v>40</v>
      </c>
      <c r="C927">
        <v>86.92</v>
      </c>
      <c r="D927">
        <v>3</v>
      </c>
      <c r="E927" s="1">
        <v>38372</v>
      </c>
      <c r="F927" t="s">
        <v>0</v>
      </c>
      <c r="G927">
        <v>1</v>
      </c>
      <c r="H927">
        <v>2005</v>
      </c>
      <c r="I927" t="s">
        <v>49</v>
      </c>
      <c r="J927" t="s">
        <v>107</v>
      </c>
      <c r="K927" t="s">
        <v>233</v>
      </c>
      <c r="L927" t="s">
        <v>234</v>
      </c>
      <c r="M927" t="s">
        <v>235</v>
      </c>
      <c r="N927" t="s">
        <v>181</v>
      </c>
      <c r="O927" t="s">
        <v>236</v>
      </c>
      <c r="P927" t="s">
        <v>5</v>
      </c>
      <c r="Q927" t="s">
        <v>6</v>
      </c>
      <c r="R927" t="s">
        <v>351</v>
      </c>
      <c r="S927" t="s">
        <v>8</v>
      </c>
      <c r="T927" t="s">
        <v>345</v>
      </c>
      <c r="U927">
        <f>Sales_Order[[#This Row],[Quantity ordered]]*Sales_Order[[#This Row],[Price each]]</f>
        <v>3476.8</v>
      </c>
    </row>
    <row r="928" spans="1:21" x14ac:dyDescent="0.3">
      <c r="A928">
        <v>10382</v>
      </c>
      <c r="B928">
        <v>33</v>
      </c>
      <c r="C928">
        <v>100</v>
      </c>
      <c r="D928">
        <v>4</v>
      </c>
      <c r="E928" s="1">
        <v>38400</v>
      </c>
      <c r="F928" t="s">
        <v>0</v>
      </c>
      <c r="G928">
        <v>1</v>
      </c>
      <c r="H928">
        <v>2005</v>
      </c>
      <c r="I928" t="s">
        <v>49</v>
      </c>
      <c r="J928" t="s">
        <v>107</v>
      </c>
      <c r="K928" t="s">
        <v>225</v>
      </c>
      <c r="L928" t="s">
        <v>226</v>
      </c>
      <c r="M928" t="s">
        <v>227</v>
      </c>
      <c r="N928" t="s">
        <v>161</v>
      </c>
      <c r="O928" t="s">
        <v>177</v>
      </c>
      <c r="P928" t="s">
        <v>5</v>
      </c>
      <c r="Q928" t="s">
        <v>6</v>
      </c>
      <c r="R928" t="s">
        <v>349</v>
      </c>
      <c r="S928" t="s">
        <v>8</v>
      </c>
      <c r="T928" t="s">
        <v>320</v>
      </c>
      <c r="U928">
        <f>Sales_Order[[#This Row],[Quantity ordered]]*Sales_Order[[#This Row],[Price each]]</f>
        <v>3300</v>
      </c>
    </row>
    <row r="929" spans="1:21" x14ac:dyDescent="0.3">
      <c r="A929">
        <v>10120</v>
      </c>
      <c r="B929">
        <v>29</v>
      </c>
      <c r="C929">
        <v>85.49</v>
      </c>
      <c r="D929">
        <v>9</v>
      </c>
      <c r="E929" s="1">
        <v>37740</v>
      </c>
      <c r="F929" t="s">
        <v>0</v>
      </c>
      <c r="G929">
        <v>2</v>
      </c>
      <c r="H929">
        <v>2003</v>
      </c>
      <c r="I929" t="s">
        <v>53</v>
      </c>
      <c r="J929" t="s">
        <v>108</v>
      </c>
      <c r="K929" t="s">
        <v>9</v>
      </c>
      <c r="L929" t="s">
        <v>10</v>
      </c>
      <c r="M929" t="s">
        <v>11</v>
      </c>
      <c r="N929" t="s">
        <v>12</v>
      </c>
      <c r="O929" t="s">
        <v>134</v>
      </c>
      <c r="P929" t="s">
        <v>13</v>
      </c>
      <c r="Q929" t="s">
        <v>14</v>
      </c>
      <c r="R929" t="s">
        <v>325</v>
      </c>
      <c r="S929" t="s">
        <v>7</v>
      </c>
      <c r="T929" t="s">
        <v>327</v>
      </c>
      <c r="U929">
        <f>Sales_Order[[#This Row],[Quantity ordered]]*Sales_Order[[#This Row],[Price each]]</f>
        <v>2479.21</v>
      </c>
    </row>
    <row r="930" spans="1:21" x14ac:dyDescent="0.3">
      <c r="A930">
        <v>10145</v>
      </c>
      <c r="B930">
        <v>33</v>
      </c>
      <c r="C930">
        <v>84.77</v>
      </c>
      <c r="D930">
        <v>15</v>
      </c>
      <c r="E930" s="1">
        <v>37858</v>
      </c>
      <c r="F930" t="s">
        <v>0</v>
      </c>
      <c r="G930">
        <v>3</v>
      </c>
      <c r="H930">
        <v>2003</v>
      </c>
      <c r="I930" t="s">
        <v>53</v>
      </c>
      <c r="J930" t="s">
        <v>108</v>
      </c>
      <c r="K930" t="s">
        <v>158</v>
      </c>
      <c r="L930" t="s">
        <v>159</v>
      </c>
      <c r="M930" t="s">
        <v>160</v>
      </c>
      <c r="N930" t="s">
        <v>161</v>
      </c>
      <c r="O930" t="s">
        <v>162</v>
      </c>
      <c r="P930" t="s">
        <v>5</v>
      </c>
      <c r="Q930" t="s">
        <v>6</v>
      </c>
      <c r="R930" t="s">
        <v>321</v>
      </c>
      <c r="S930" t="s">
        <v>7</v>
      </c>
      <c r="T930" t="s">
        <v>322</v>
      </c>
      <c r="U930">
        <f>Sales_Order[[#This Row],[Quantity ordered]]*Sales_Order[[#This Row],[Price each]]</f>
        <v>2797.41</v>
      </c>
    </row>
    <row r="931" spans="1:21" x14ac:dyDescent="0.3">
      <c r="A931">
        <v>10168</v>
      </c>
      <c r="B931">
        <v>48</v>
      </c>
      <c r="C931">
        <v>78.25</v>
      </c>
      <c r="D931">
        <v>10</v>
      </c>
      <c r="E931" s="1">
        <v>37922</v>
      </c>
      <c r="F931" t="s">
        <v>0</v>
      </c>
      <c r="G931">
        <v>4</v>
      </c>
      <c r="H931">
        <v>2003</v>
      </c>
      <c r="I931" t="s">
        <v>53</v>
      </c>
      <c r="J931" t="s">
        <v>108</v>
      </c>
      <c r="K931" t="s">
        <v>163</v>
      </c>
      <c r="L931" t="s">
        <v>164</v>
      </c>
      <c r="M931" t="s">
        <v>165</v>
      </c>
      <c r="N931" t="s">
        <v>161</v>
      </c>
      <c r="O931" t="s">
        <v>166</v>
      </c>
      <c r="P931" t="s">
        <v>5</v>
      </c>
      <c r="Q931" t="s">
        <v>6</v>
      </c>
      <c r="R931" t="s">
        <v>323</v>
      </c>
      <c r="S931" t="s">
        <v>8</v>
      </c>
      <c r="T931" t="s">
        <v>324</v>
      </c>
      <c r="U931">
        <f>Sales_Order[[#This Row],[Quantity ordered]]*Sales_Order[[#This Row],[Price each]]</f>
        <v>3756</v>
      </c>
    </row>
    <row r="932" spans="1:21" x14ac:dyDescent="0.3">
      <c r="A932">
        <v>10210</v>
      </c>
      <c r="B932">
        <v>40</v>
      </c>
      <c r="C932">
        <v>71</v>
      </c>
      <c r="D932">
        <v>8</v>
      </c>
      <c r="E932" s="1">
        <v>38322</v>
      </c>
      <c r="F932" t="s">
        <v>0</v>
      </c>
      <c r="G932">
        <v>1</v>
      </c>
      <c r="H932">
        <v>2004</v>
      </c>
      <c r="I932" t="s">
        <v>53</v>
      </c>
      <c r="J932" t="s">
        <v>108</v>
      </c>
      <c r="K932" t="s">
        <v>242</v>
      </c>
      <c r="L932" t="s">
        <v>243</v>
      </c>
      <c r="M932" t="s">
        <v>244</v>
      </c>
      <c r="N932" t="s">
        <v>244</v>
      </c>
      <c r="O932" t="s">
        <v>245</v>
      </c>
      <c r="P932" t="s">
        <v>195</v>
      </c>
      <c r="Q932" t="s">
        <v>195</v>
      </c>
      <c r="R932" t="s">
        <v>354</v>
      </c>
      <c r="S932" t="s">
        <v>7</v>
      </c>
      <c r="T932" t="s">
        <v>345</v>
      </c>
      <c r="U932">
        <f>Sales_Order[[#This Row],[Quantity ordered]]*Sales_Order[[#This Row],[Price each]]</f>
        <v>2840</v>
      </c>
    </row>
    <row r="933" spans="1:21" x14ac:dyDescent="0.3">
      <c r="A933">
        <v>10223</v>
      </c>
      <c r="B933">
        <v>23</v>
      </c>
      <c r="C933">
        <v>74.62</v>
      </c>
      <c r="D933">
        <v>10</v>
      </c>
      <c r="E933" s="1">
        <v>38037</v>
      </c>
      <c r="F933" t="s">
        <v>0</v>
      </c>
      <c r="G933">
        <v>1</v>
      </c>
      <c r="H933">
        <v>2004</v>
      </c>
      <c r="I933" t="s">
        <v>53</v>
      </c>
      <c r="J933" t="s">
        <v>108</v>
      </c>
      <c r="K933" t="s">
        <v>9</v>
      </c>
      <c r="L933" t="s">
        <v>10</v>
      </c>
      <c r="M933" t="s">
        <v>11</v>
      </c>
      <c r="N933" t="s">
        <v>12</v>
      </c>
      <c r="O933" t="s">
        <v>134</v>
      </c>
      <c r="P933" t="s">
        <v>13</v>
      </c>
      <c r="Q933" t="s">
        <v>14</v>
      </c>
      <c r="R933" t="s">
        <v>325</v>
      </c>
      <c r="S933" t="s">
        <v>7</v>
      </c>
      <c r="T933" t="s">
        <v>320</v>
      </c>
      <c r="U933">
        <f>Sales_Order[[#This Row],[Quantity ordered]]*Sales_Order[[#This Row],[Price each]]</f>
        <v>1716.2600000000002</v>
      </c>
    </row>
    <row r="934" spans="1:21" x14ac:dyDescent="0.3">
      <c r="A934">
        <v>10235</v>
      </c>
      <c r="B934">
        <v>40</v>
      </c>
      <c r="C934">
        <v>81.14</v>
      </c>
      <c r="D934">
        <v>4</v>
      </c>
      <c r="E934" s="1">
        <v>38021</v>
      </c>
      <c r="F934" t="s">
        <v>0</v>
      </c>
      <c r="G934">
        <v>2</v>
      </c>
      <c r="H934">
        <v>2004</v>
      </c>
      <c r="I934" t="s">
        <v>53</v>
      </c>
      <c r="J934" t="s">
        <v>108</v>
      </c>
      <c r="K934" t="s">
        <v>259</v>
      </c>
      <c r="L934" t="s">
        <v>260</v>
      </c>
      <c r="M934" t="s">
        <v>261</v>
      </c>
      <c r="N934" t="s">
        <v>208</v>
      </c>
      <c r="O934" t="s">
        <v>262</v>
      </c>
      <c r="P934" t="s">
        <v>210</v>
      </c>
      <c r="Q934" t="s">
        <v>6</v>
      </c>
      <c r="R934" t="s">
        <v>359</v>
      </c>
      <c r="S934" t="s">
        <v>8</v>
      </c>
      <c r="T934" t="s">
        <v>327</v>
      </c>
      <c r="U934">
        <f>Sales_Order[[#This Row],[Quantity ordered]]*Sales_Order[[#This Row],[Price each]]</f>
        <v>3245.6</v>
      </c>
    </row>
    <row r="935" spans="1:21" x14ac:dyDescent="0.3">
      <c r="A935">
        <v>10250</v>
      </c>
      <c r="B935">
        <v>37</v>
      </c>
      <c r="C935">
        <v>74.62</v>
      </c>
      <c r="D935">
        <v>5</v>
      </c>
      <c r="E935" s="1">
        <v>38296</v>
      </c>
      <c r="F935" t="s">
        <v>0</v>
      </c>
      <c r="G935">
        <v>2</v>
      </c>
      <c r="H935">
        <v>2004</v>
      </c>
      <c r="I935" t="s">
        <v>53</v>
      </c>
      <c r="J935" t="s">
        <v>108</v>
      </c>
      <c r="K935" t="s">
        <v>272</v>
      </c>
      <c r="L935" t="s">
        <v>273</v>
      </c>
      <c r="M935" t="s">
        <v>274</v>
      </c>
      <c r="N935" t="s">
        <v>161</v>
      </c>
      <c r="O935" t="s">
        <v>166</v>
      </c>
      <c r="P935" t="s">
        <v>5</v>
      </c>
      <c r="Q935" t="s">
        <v>6</v>
      </c>
      <c r="R935" t="s">
        <v>363</v>
      </c>
      <c r="S935" t="s">
        <v>7</v>
      </c>
      <c r="T935" t="s">
        <v>329</v>
      </c>
      <c r="U935">
        <f>Sales_Order[[#This Row],[Quantity ordered]]*Sales_Order[[#This Row],[Price each]]</f>
        <v>2760.94</v>
      </c>
    </row>
    <row r="936" spans="1:21" x14ac:dyDescent="0.3">
      <c r="A936">
        <v>10263</v>
      </c>
      <c r="B936">
        <v>24</v>
      </c>
      <c r="C936">
        <v>75.349999999999994</v>
      </c>
      <c r="D936">
        <v>11</v>
      </c>
      <c r="E936" s="1">
        <v>38166</v>
      </c>
      <c r="F936" t="s">
        <v>0</v>
      </c>
      <c r="G936">
        <v>2</v>
      </c>
      <c r="H936">
        <v>2004</v>
      </c>
      <c r="I936" t="s">
        <v>53</v>
      </c>
      <c r="J936" t="s">
        <v>108</v>
      </c>
      <c r="K936" t="s">
        <v>173</v>
      </c>
      <c r="L936" t="s">
        <v>174</v>
      </c>
      <c r="M936" t="s">
        <v>175</v>
      </c>
      <c r="N936" t="s">
        <v>176</v>
      </c>
      <c r="O936" t="s">
        <v>177</v>
      </c>
      <c r="P936" t="s">
        <v>5</v>
      </c>
      <c r="Q936" t="s">
        <v>6</v>
      </c>
      <c r="R936" t="s">
        <v>330</v>
      </c>
      <c r="S936" t="s">
        <v>7</v>
      </c>
      <c r="T936" t="s">
        <v>331</v>
      </c>
      <c r="U936">
        <f>Sales_Order[[#This Row],[Quantity ordered]]*Sales_Order[[#This Row],[Price each]]</f>
        <v>1808.3999999999999</v>
      </c>
    </row>
    <row r="937" spans="1:21" x14ac:dyDescent="0.3">
      <c r="A937">
        <v>10308</v>
      </c>
      <c r="B937">
        <v>44</v>
      </c>
      <c r="C937">
        <v>83.32</v>
      </c>
      <c r="D937">
        <v>8</v>
      </c>
      <c r="E937" s="1">
        <v>38275</v>
      </c>
      <c r="F937" t="s">
        <v>0</v>
      </c>
      <c r="G937">
        <v>4</v>
      </c>
      <c r="H937">
        <v>2004</v>
      </c>
      <c r="I937" t="s">
        <v>53</v>
      </c>
      <c r="J937" t="s">
        <v>108</v>
      </c>
      <c r="K937" t="s">
        <v>248</v>
      </c>
      <c r="L937" t="s">
        <v>249</v>
      </c>
      <c r="M937" t="s">
        <v>250</v>
      </c>
      <c r="N937" t="s">
        <v>4</v>
      </c>
      <c r="O937" t="s">
        <v>251</v>
      </c>
      <c r="P937" t="s">
        <v>5</v>
      </c>
      <c r="Q937" t="s">
        <v>6</v>
      </c>
      <c r="R937" t="s">
        <v>356</v>
      </c>
      <c r="S937" t="s">
        <v>8</v>
      </c>
      <c r="T937" t="s">
        <v>324</v>
      </c>
      <c r="U937">
        <f>Sales_Order[[#This Row],[Quantity ordered]]*Sales_Order[[#This Row],[Price each]]</f>
        <v>3666.08</v>
      </c>
    </row>
    <row r="938" spans="1:21" x14ac:dyDescent="0.3">
      <c r="A938">
        <v>10317</v>
      </c>
      <c r="B938">
        <v>35</v>
      </c>
      <c r="C938">
        <v>83.32</v>
      </c>
      <c r="D938">
        <v>1</v>
      </c>
      <c r="E938" s="1">
        <v>38028</v>
      </c>
      <c r="F938" t="s">
        <v>0</v>
      </c>
      <c r="G938">
        <v>4</v>
      </c>
      <c r="H938">
        <v>2004</v>
      </c>
      <c r="I938" t="s">
        <v>53</v>
      </c>
      <c r="J938" t="s">
        <v>108</v>
      </c>
      <c r="K938" t="s">
        <v>163</v>
      </c>
      <c r="L938" t="s">
        <v>164</v>
      </c>
      <c r="M938" t="s">
        <v>165</v>
      </c>
      <c r="N938" t="s">
        <v>161</v>
      </c>
      <c r="O938" t="s">
        <v>166</v>
      </c>
      <c r="P938" t="s">
        <v>5</v>
      </c>
      <c r="Q938" t="s">
        <v>6</v>
      </c>
      <c r="R938" t="s">
        <v>323</v>
      </c>
      <c r="S938" t="s">
        <v>7</v>
      </c>
      <c r="T938" t="s">
        <v>334</v>
      </c>
      <c r="U938">
        <f>Sales_Order[[#This Row],[Quantity ordered]]*Sales_Order[[#This Row],[Price each]]</f>
        <v>2916.2</v>
      </c>
    </row>
    <row r="939" spans="1:21" x14ac:dyDescent="0.3">
      <c r="A939">
        <v>10353</v>
      </c>
      <c r="B939">
        <v>35</v>
      </c>
      <c r="C939">
        <v>89.9</v>
      </c>
      <c r="D939">
        <v>3</v>
      </c>
      <c r="E939" s="1">
        <v>38089</v>
      </c>
      <c r="F939" t="s">
        <v>0</v>
      </c>
      <c r="G939">
        <v>4</v>
      </c>
      <c r="H939">
        <v>2004</v>
      </c>
      <c r="I939" t="s">
        <v>53</v>
      </c>
      <c r="J939" t="s">
        <v>108</v>
      </c>
      <c r="K939" t="s">
        <v>301</v>
      </c>
      <c r="L939" t="s">
        <v>302</v>
      </c>
      <c r="M939" t="s">
        <v>284</v>
      </c>
      <c r="N939" t="s">
        <v>176</v>
      </c>
      <c r="O939" t="s">
        <v>303</v>
      </c>
      <c r="P939" t="s">
        <v>5</v>
      </c>
      <c r="Q939" t="s">
        <v>6</v>
      </c>
      <c r="R939" t="s">
        <v>372</v>
      </c>
      <c r="S939" t="s">
        <v>8</v>
      </c>
      <c r="T939" t="s">
        <v>336</v>
      </c>
      <c r="U939">
        <f>Sales_Order[[#This Row],[Quantity ordered]]*Sales_Order[[#This Row],[Price each]]</f>
        <v>3146.5</v>
      </c>
    </row>
    <row r="940" spans="1:21" x14ac:dyDescent="0.3">
      <c r="A940">
        <v>10361</v>
      </c>
      <c r="B940">
        <v>25</v>
      </c>
      <c r="C940">
        <v>62.46</v>
      </c>
      <c r="D940">
        <v>1</v>
      </c>
      <c r="E940" s="1">
        <v>38338</v>
      </c>
      <c r="F940" t="s">
        <v>0</v>
      </c>
      <c r="G940">
        <v>4</v>
      </c>
      <c r="H940">
        <v>2004</v>
      </c>
      <c r="I940" t="s">
        <v>53</v>
      </c>
      <c r="J940" t="s">
        <v>108</v>
      </c>
      <c r="K940" t="s">
        <v>18</v>
      </c>
      <c r="L940" t="s">
        <v>19</v>
      </c>
      <c r="M940" t="s">
        <v>20</v>
      </c>
      <c r="N940" t="s">
        <v>21</v>
      </c>
      <c r="O940" t="s">
        <v>136</v>
      </c>
      <c r="P940" t="s">
        <v>13</v>
      </c>
      <c r="Q940" t="s">
        <v>14</v>
      </c>
      <c r="R940" t="s">
        <v>335</v>
      </c>
      <c r="S940" t="s">
        <v>7</v>
      </c>
      <c r="T940" t="s">
        <v>336</v>
      </c>
      <c r="U940">
        <f>Sales_Order[[#This Row],[Quantity ordered]]*Sales_Order[[#This Row],[Price each]]</f>
        <v>1561.5</v>
      </c>
    </row>
    <row r="941" spans="1:21" x14ac:dyDescent="0.3">
      <c r="A941">
        <v>10401</v>
      </c>
      <c r="B941">
        <v>52</v>
      </c>
      <c r="C941">
        <v>81.14</v>
      </c>
      <c r="D941">
        <v>4</v>
      </c>
      <c r="E941" s="1">
        <v>38415</v>
      </c>
      <c r="F941" t="s">
        <v>275</v>
      </c>
      <c r="G941">
        <v>2</v>
      </c>
      <c r="H941">
        <v>2005</v>
      </c>
      <c r="I941" t="s">
        <v>53</v>
      </c>
      <c r="J941" t="s">
        <v>108</v>
      </c>
      <c r="K941" t="s">
        <v>168</v>
      </c>
      <c r="L941" t="s">
        <v>169</v>
      </c>
      <c r="M941" t="s">
        <v>170</v>
      </c>
      <c r="N941" t="s">
        <v>171</v>
      </c>
      <c r="O941" t="s">
        <v>172</v>
      </c>
      <c r="P941" t="s">
        <v>5</v>
      </c>
      <c r="Q941" t="s">
        <v>6</v>
      </c>
      <c r="R941" t="s">
        <v>328</v>
      </c>
      <c r="S941" t="s">
        <v>8</v>
      </c>
      <c r="T941" t="s">
        <v>327</v>
      </c>
      <c r="U941">
        <f>Sales_Order[[#This Row],[Quantity ordered]]*Sales_Order[[#This Row],[Price each]]</f>
        <v>4219.28</v>
      </c>
    </row>
    <row r="942" spans="1:21" x14ac:dyDescent="0.3">
      <c r="A942">
        <v>10135</v>
      </c>
      <c r="B942">
        <v>23</v>
      </c>
      <c r="C942">
        <v>87.31</v>
      </c>
      <c r="D942">
        <v>11</v>
      </c>
      <c r="E942" s="1">
        <v>37659</v>
      </c>
      <c r="F942" t="s">
        <v>0</v>
      </c>
      <c r="G942">
        <v>3</v>
      </c>
      <c r="H942">
        <v>2003</v>
      </c>
      <c r="I942" t="s">
        <v>22</v>
      </c>
      <c r="J942" t="s">
        <v>109</v>
      </c>
      <c r="K942" t="s">
        <v>225</v>
      </c>
      <c r="L942" t="s">
        <v>226</v>
      </c>
      <c r="M942" t="s">
        <v>227</v>
      </c>
      <c r="N942" t="s">
        <v>161</v>
      </c>
      <c r="O942" t="s">
        <v>177</v>
      </c>
      <c r="P942" t="s">
        <v>5</v>
      </c>
      <c r="Q942" t="s">
        <v>6</v>
      </c>
      <c r="R942" t="s">
        <v>349</v>
      </c>
      <c r="S942" t="s">
        <v>7</v>
      </c>
      <c r="T942" t="s">
        <v>339</v>
      </c>
      <c r="U942">
        <f>Sales_Order[[#This Row],[Quantity ordered]]*Sales_Order[[#This Row],[Price each]]</f>
        <v>2008.13</v>
      </c>
    </row>
    <row r="943" spans="1:21" x14ac:dyDescent="0.3">
      <c r="A943">
        <v>10147</v>
      </c>
      <c r="B943">
        <v>31</v>
      </c>
      <c r="C943">
        <v>64.67</v>
      </c>
      <c r="D943">
        <v>11</v>
      </c>
      <c r="E943" s="1">
        <v>37750</v>
      </c>
      <c r="F943" t="s">
        <v>0</v>
      </c>
      <c r="G943">
        <v>3</v>
      </c>
      <c r="H943">
        <v>2003</v>
      </c>
      <c r="I943" t="s">
        <v>22</v>
      </c>
      <c r="J943" t="s">
        <v>109</v>
      </c>
      <c r="K943" t="s">
        <v>233</v>
      </c>
      <c r="L943" t="s">
        <v>234</v>
      </c>
      <c r="M943" t="s">
        <v>235</v>
      </c>
      <c r="N943" t="s">
        <v>181</v>
      </c>
      <c r="O943" t="s">
        <v>236</v>
      </c>
      <c r="P943" t="s">
        <v>5</v>
      </c>
      <c r="Q943" t="s">
        <v>6</v>
      </c>
      <c r="R943" t="s">
        <v>351</v>
      </c>
      <c r="S943" t="s">
        <v>7</v>
      </c>
      <c r="T943" t="s">
        <v>361</v>
      </c>
      <c r="U943">
        <f>Sales_Order[[#This Row],[Quantity ordered]]*Sales_Order[[#This Row],[Price each]]</f>
        <v>2004.77</v>
      </c>
    </row>
    <row r="944" spans="1:21" x14ac:dyDescent="0.3">
      <c r="A944">
        <v>10169</v>
      </c>
      <c r="B944">
        <v>24</v>
      </c>
      <c r="C944">
        <v>94.58</v>
      </c>
      <c r="D944">
        <v>6</v>
      </c>
      <c r="E944" s="1">
        <v>37722</v>
      </c>
      <c r="F944" t="s">
        <v>0</v>
      </c>
      <c r="G944">
        <v>4</v>
      </c>
      <c r="H944">
        <v>2003</v>
      </c>
      <c r="I944" t="s">
        <v>22</v>
      </c>
      <c r="J944" t="s">
        <v>109</v>
      </c>
      <c r="K944" t="s">
        <v>26</v>
      </c>
      <c r="L944" t="s">
        <v>27</v>
      </c>
      <c r="M944" t="s">
        <v>28</v>
      </c>
      <c r="N944" t="s">
        <v>21</v>
      </c>
      <c r="O944" t="s">
        <v>137</v>
      </c>
      <c r="P944" t="s">
        <v>13</v>
      </c>
      <c r="Q944" t="s">
        <v>14</v>
      </c>
      <c r="R944" t="s">
        <v>352</v>
      </c>
      <c r="S944" t="s">
        <v>7</v>
      </c>
      <c r="T944" t="s">
        <v>334</v>
      </c>
      <c r="U944">
        <f>Sales_Order[[#This Row],[Quantity ordered]]*Sales_Order[[#This Row],[Price each]]</f>
        <v>2269.92</v>
      </c>
    </row>
    <row r="945" spans="1:21" x14ac:dyDescent="0.3">
      <c r="A945">
        <v>10264</v>
      </c>
      <c r="B945">
        <v>47</v>
      </c>
      <c r="C945">
        <v>83.27</v>
      </c>
      <c r="D945">
        <v>1</v>
      </c>
      <c r="E945" s="1">
        <v>38168</v>
      </c>
      <c r="F945" t="s">
        <v>0</v>
      </c>
      <c r="G945">
        <v>2</v>
      </c>
      <c r="H945">
        <v>2004</v>
      </c>
      <c r="I945" t="s">
        <v>22</v>
      </c>
      <c r="J945" t="s">
        <v>109</v>
      </c>
      <c r="K945" t="s">
        <v>263</v>
      </c>
      <c r="L945" t="s">
        <v>264</v>
      </c>
      <c r="M945" t="s">
        <v>265</v>
      </c>
      <c r="N945" t="s">
        <v>181</v>
      </c>
      <c r="O945" t="s">
        <v>266</v>
      </c>
      <c r="P945" t="s">
        <v>5</v>
      </c>
      <c r="Q945" t="s">
        <v>6</v>
      </c>
      <c r="R945" t="s">
        <v>360</v>
      </c>
      <c r="S945" t="s">
        <v>8</v>
      </c>
      <c r="T945" t="s">
        <v>331</v>
      </c>
      <c r="U945">
        <f>Sales_Order[[#This Row],[Quantity ordered]]*Sales_Order[[#This Row],[Price each]]</f>
        <v>3913.6899999999996</v>
      </c>
    </row>
    <row r="946" spans="1:21" x14ac:dyDescent="0.3">
      <c r="A946">
        <v>10276</v>
      </c>
      <c r="B946">
        <v>48</v>
      </c>
      <c r="C946">
        <v>75.180000000000007</v>
      </c>
      <c r="D946">
        <v>7</v>
      </c>
      <c r="E946" s="1">
        <v>38025</v>
      </c>
      <c r="F946" t="s">
        <v>0</v>
      </c>
      <c r="G946">
        <v>3</v>
      </c>
      <c r="H946">
        <v>2004</v>
      </c>
      <c r="I946" t="s">
        <v>22</v>
      </c>
      <c r="J946" t="s">
        <v>109</v>
      </c>
      <c r="K946" t="s">
        <v>279</v>
      </c>
      <c r="L946" t="s">
        <v>280</v>
      </c>
      <c r="M946" t="s">
        <v>235</v>
      </c>
      <c r="N946" t="s">
        <v>181</v>
      </c>
      <c r="O946" t="s">
        <v>236</v>
      </c>
      <c r="P946" t="s">
        <v>5</v>
      </c>
      <c r="Q946" t="s">
        <v>6</v>
      </c>
      <c r="R946" t="s">
        <v>365</v>
      </c>
      <c r="S946" t="s">
        <v>8</v>
      </c>
      <c r="T946" t="s">
        <v>322</v>
      </c>
      <c r="U946">
        <f>Sales_Order[[#This Row],[Quantity ordered]]*Sales_Order[[#This Row],[Price each]]</f>
        <v>3608.6400000000003</v>
      </c>
    </row>
    <row r="947" spans="1:21" x14ac:dyDescent="0.3">
      <c r="A947">
        <v>10319</v>
      </c>
      <c r="B947">
        <v>43</v>
      </c>
      <c r="C947">
        <v>85.69</v>
      </c>
      <c r="D947">
        <v>2</v>
      </c>
      <c r="E947" s="1">
        <v>38057</v>
      </c>
      <c r="F947" t="s">
        <v>0</v>
      </c>
      <c r="G947">
        <v>4</v>
      </c>
      <c r="H947">
        <v>2004</v>
      </c>
      <c r="I947" t="s">
        <v>22</v>
      </c>
      <c r="J947" t="s">
        <v>109</v>
      </c>
      <c r="K947" t="s">
        <v>41</v>
      </c>
      <c r="L947" t="s">
        <v>42</v>
      </c>
      <c r="M947" t="s">
        <v>3</v>
      </c>
      <c r="N947" t="s">
        <v>4</v>
      </c>
      <c r="O947" t="s">
        <v>135</v>
      </c>
      <c r="P947" t="s">
        <v>5</v>
      </c>
      <c r="Q947" t="s">
        <v>6</v>
      </c>
      <c r="R947" t="s">
        <v>367</v>
      </c>
      <c r="S947" t="s">
        <v>8</v>
      </c>
      <c r="T947" t="s">
        <v>334</v>
      </c>
      <c r="U947">
        <f>Sales_Order[[#This Row],[Quantity ordered]]*Sales_Order[[#This Row],[Price each]]</f>
        <v>3684.67</v>
      </c>
    </row>
    <row r="948" spans="1:21" x14ac:dyDescent="0.3">
      <c r="A948">
        <v>10331</v>
      </c>
      <c r="B948">
        <v>41</v>
      </c>
      <c r="C948">
        <v>100</v>
      </c>
      <c r="D948">
        <v>2</v>
      </c>
      <c r="E948" s="1">
        <v>38308</v>
      </c>
      <c r="F948" t="s">
        <v>0</v>
      </c>
      <c r="G948">
        <v>4</v>
      </c>
      <c r="H948">
        <v>2004</v>
      </c>
      <c r="I948" t="s">
        <v>22</v>
      </c>
      <c r="J948" t="s">
        <v>109</v>
      </c>
      <c r="K948" t="s">
        <v>246</v>
      </c>
      <c r="L948" t="s">
        <v>247</v>
      </c>
      <c r="M948" t="s">
        <v>203</v>
      </c>
      <c r="N948" t="s">
        <v>186</v>
      </c>
      <c r="O948" t="s">
        <v>204</v>
      </c>
      <c r="P948" t="s">
        <v>5</v>
      </c>
      <c r="Q948" t="s">
        <v>6</v>
      </c>
      <c r="R948" t="s">
        <v>355</v>
      </c>
      <c r="S948" t="s">
        <v>8</v>
      </c>
      <c r="T948" t="s">
        <v>334</v>
      </c>
      <c r="U948">
        <f>Sales_Order[[#This Row],[Quantity ordered]]*Sales_Order[[#This Row],[Price each]]</f>
        <v>4100</v>
      </c>
    </row>
    <row r="949" spans="1:21" x14ac:dyDescent="0.3">
      <c r="A949">
        <v>10390</v>
      </c>
      <c r="B949">
        <v>30</v>
      </c>
      <c r="C949">
        <v>82.42</v>
      </c>
      <c r="D949">
        <v>10</v>
      </c>
      <c r="E949" s="1">
        <v>38445</v>
      </c>
      <c r="F949" t="s">
        <v>0</v>
      </c>
      <c r="G949">
        <v>1</v>
      </c>
      <c r="H949">
        <v>2005</v>
      </c>
      <c r="I949" t="s">
        <v>22</v>
      </c>
      <c r="J949" t="s">
        <v>109</v>
      </c>
      <c r="K949" t="s">
        <v>225</v>
      </c>
      <c r="L949" t="s">
        <v>226</v>
      </c>
      <c r="M949" t="s">
        <v>227</v>
      </c>
      <c r="N949" t="s">
        <v>161</v>
      </c>
      <c r="O949" t="s">
        <v>177</v>
      </c>
      <c r="P949" t="s">
        <v>5</v>
      </c>
      <c r="Q949" t="s">
        <v>6</v>
      </c>
      <c r="R949" t="s">
        <v>349</v>
      </c>
      <c r="S949" t="s">
        <v>7</v>
      </c>
      <c r="T949" t="s">
        <v>338</v>
      </c>
      <c r="U949">
        <f>Sales_Order[[#This Row],[Quantity ordered]]*Sales_Order[[#This Row],[Price each]]</f>
        <v>2472.6</v>
      </c>
    </row>
    <row r="950" spans="1:21" x14ac:dyDescent="0.3">
      <c r="A950">
        <v>10140</v>
      </c>
      <c r="B950">
        <v>26</v>
      </c>
      <c r="C950">
        <v>100</v>
      </c>
      <c r="D950">
        <v>3</v>
      </c>
      <c r="E950" s="1">
        <v>37826</v>
      </c>
      <c r="F950" t="s">
        <v>0</v>
      </c>
      <c r="G950">
        <v>3</v>
      </c>
      <c r="H950">
        <v>2003</v>
      </c>
      <c r="I950" t="s">
        <v>38</v>
      </c>
      <c r="J950" t="s">
        <v>110</v>
      </c>
      <c r="K950" t="s">
        <v>163</v>
      </c>
      <c r="L950" t="s">
        <v>164</v>
      </c>
      <c r="M950" t="s">
        <v>165</v>
      </c>
      <c r="N950" t="s">
        <v>161</v>
      </c>
      <c r="O950" t="s">
        <v>166</v>
      </c>
      <c r="P950" t="s">
        <v>5</v>
      </c>
      <c r="Q950" t="s">
        <v>6</v>
      </c>
      <c r="R950" t="s">
        <v>323</v>
      </c>
      <c r="S950" t="s">
        <v>7</v>
      </c>
      <c r="T950" t="s">
        <v>339</v>
      </c>
      <c r="U950">
        <f>Sales_Order[[#This Row],[Quantity ordered]]*Sales_Order[[#This Row],[Price each]]</f>
        <v>2600</v>
      </c>
    </row>
    <row r="951" spans="1:21" x14ac:dyDescent="0.3">
      <c r="A951">
        <v>10207</v>
      </c>
      <c r="B951">
        <v>49</v>
      </c>
      <c r="C951">
        <v>80.900000000000006</v>
      </c>
      <c r="D951">
        <v>14</v>
      </c>
      <c r="E951" s="1">
        <v>37876</v>
      </c>
      <c r="F951" t="s">
        <v>0</v>
      </c>
      <c r="G951">
        <v>4</v>
      </c>
      <c r="H951">
        <v>2003</v>
      </c>
      <c r="I951" t="s">
        <v>38</v>
      </c>
      <c r="J951" t="s">
        <v>110</v>
      </c>
      <c r="K951" t="s">
        <v>277</v>
      </c>
      <c r="L951" t="s">
        <v>278</v>
      </c>
      <c r="M951" t="s">
        <v>265</v>
      </c>
      <c r="N951" t="s">
        <v>181</v>
      </c>
      <c r="O951" t="s">
        <v>266</v>
      </c>
      <c r="P951" t="s">
        <v>5</v>
      </c>
      <c r="Q951" t="s">
        <v>6</v>
      </c>
      <c r="R951" t="s">
        <v>364</v>
      </c>
      <c r="S951" t="s">
        <v>8</v>
      </c>
      <c r="T951" t="s">
        <v>336</v>
      </c>
      <c r="U951">
        <f>Sales_Order[[#This Row],[Quantity ordered]]*Sales_Order[[#This Row],[Price each]]</f>
        <v>3964.1000000000004</v>
      </c>
    </row>
    <row r="952" spans="1:21" x14ac:dyDescent="0.3">
      <c r="A952">
        <v>10229</v>
      </c>
      <c r="B952">
        <v>25</v>
      </c>
      <c r="C952">
        <v>100</v>
      </c>
      <c r="D952">
        <v>8</v>
      </c>
      <c r="E952" s="1">
        <v>38294</v>
      </c>
      <c r="F952" t="s">
        <v>0</v>
      </c>
      <c r="G952">
        <v>1</v>
      </c>
      <c r="H952">
        <v>2004</v>
      </c>
      <c r="I952" t="s">
        <v>38</v>
      </c>
      <c r="J952" t="s">
        <v>110</v>
      </c>
      <c r="K952" t="s">
        <v>225</v>
      </c>
      <c r="L952" t="s">
        <v>226</v>
      </c>
      <c r="M952" t="s">
        <v>227</v>
      </c>
      <c r="N952" t="s">
        <v>161</v>
      </c>
      <c r="O952" t="s">
        <v>177</v>
      </c>
      <c r="P952" t="s">
        <v>5</v>
      </c>
      <c r="Q952" t="s">
        <v>6</v>
      </c>
      <c r="R952" t="s">
        <v>349</v>
      </c>
      <c r="S952" t="s">
        <v>7</v>
      </c>
      <c r="T952" t="s">
        <v>338</v>
      </c>
      <c r="U952">
        <f>Sales_Order[[#This Row],[Quantity ordered]]*Sales_Order[[#This Row],[Price each]]</f>
        <v>2500</v>
      </c>
    </row>
    <row r="953" spans="1:21" x14ac:dyDescent="0.3">
      <c r="A953">
        <v>10245</v>
      </c>
      <c r="B953">
        <v>37</v>
      </c>
      <c r="C953">
        <v>100</v>
      </c>
      <c r="D953">
        <v>1</v>
      </c>
      <c r="E953" s="1">
        <v>38082</v>
      </c>
      <c r="F953" t="s">
        <v>0</v>
      </c>
      <c r="G953">
        <v>2</v>
      </c>
      <c r="H953">
        <v>2004</v>
      </c>
      <c r="I953" t="s">
        <v>38</v>
      </c>
      <c r="J953" t="s">
        <v>110</v>
      </c>
      <c r="K953" t="s">
        <v>216</v>
      </c>
      <c r="L953" t="s">
        <v>217</v>
      </c>
      <c r="M953" t="s">
        <v>218</v>
      </c>
      <c r="N953" t="s">
        <v>176</v>
      </c>
      <c r="O953" t="s">
        <v>219</v>
      </c>
      <c r="P953" t="s">
        <v>5</v>
      </c>
      <c r="Q953" t="s">
        <v>6</v>
      </c>
      <c r="R953" t="s">
        <v>347</v>
      </c>
      <c r="S953" t="s">
        <v>8</v>
      </c>
      <c r="T953" t="s">
        <v>329</v>
      </c>
      <c r="U953">
        <f>Sales_Order[[#This Row],[Quantity ordered]]*Sales_Order[[#This Row],[Price each]]</f>
        <v>3700</v>
      </c>
    </row>
    <row r="954" spans="1:21" x14ac:dyDescent="0.3">
      <c r="A954">
        <v>10270</v>
      </c>
      <c r="B954">
        <v>32</v>
      </c>
      <c r="C954">
        <v>85.72</v>
      </c>
      <c r="D954">
        <v>1</v>
      </c>
      <c r="E954" s="1">
        <v>38187</v>
      </c>
      <c r="F954" t="s">
        <v>0</v>
      </c>
      <c r="G954">
        <v>3</v>
      </c>
      <c r="H954">
        <v>2004</v>
      </c>
      <c r="I954" t="s">
        <v>38</v>
      </c>
      <c r="J954" t="s">
        <v>110</v>
      </c>
      <c r="K954" t="s">
        <v>18</v>
      </c>
      <c r="L954" t="s">
        <v>19</v>
      </c>
      <c r="M954" t="s">
        <v>20</v>
      </c>
      <c r="N954" t="s">
        <v>21</v>
      </c>
      <c r="O954" t="s">
        <v>136</v>
      </c>
      <c r="P954" t="s">
        <v>13</v>
      </c>
      <c r="Q954" t="s">
        <v>14</v>
      </c>
      <c r="R954" t="s">
        <v>335</v>
      </c>
      <c r="S954" t="s">
        <v>7</v>
      </c>
      <c r="T954" t="s">
        <v>339</v>
      </c>
      <c r="U954">
        <f>Sales_Order[[#This Row],[Quantity ordered]]*Sales_Order[[#This Row],[Price each]]</f>
        <v>2743.04</v>
      </c>
    </row>
    <row r="955" spans="1:21" x14ac:dyDescent="0.3">
      <c r="A955">
        <v>10281</v>
      </c>
      <c r="B955">
        <v>29</v>
      </c>
      <c r="C955">
        <v>82.83</v>
      </c>
      <c r="D955">
        <v>8</v>
      </c>
      <c r="E955" s="1">
        <v>38218</v>
      </c>
      <c r="F955" t="s">
        <v>0</v>
      </c>
      <c r="G955">
        <v>3</v>
      </c>
      <c r="H955">
        <v>2004</v>
      </c>
      <c r="I955" t="s">
        <v>38</v>
      </c>
      <c r="J955" t="s">
        <v>110</v>
      </c>
      <c r="K955" t="s">
        <v>183</v>
      </c>
      <c r="L955" t="s">
        <v>184</v>
      </c>
      <c r="M955" t="s">
        <v>185</v>
      </c>
      <c r="N955" t="s">
        <v>186</v>
      </c>
      <c r="O955" t="s">
        <v>187</v>
      </c>
      <c r="P955" t="s">
        <v>5</v>
      </c>
      <c r="Q955" t="s">
        <v>6</v>
      </c>
      <c r="R955" t="s">
        <v>333</v>
      </c>
      <c r="S955" t="s">
        <v>7</v>
      </c>
      <c r="T955" t="s">
        <v>322</v>
      </c>
      <c r="U955">
        <f>Sales_Order[[#This Row],[Quantity ordered]]*Sales_Order[[#This Row],[Price each]]</f>
        <v>2402.0700000000002</v>
      </c>
    </row>
    <row r="956" spans="1:21" x14ac:dyDescent="0.3">
      <c r="A956">
        <v>10305</v>
      </c>
      <c r="B956">
        <v>28</v>
      </c>
      <c r="C956">
        <v>100</v>
      </c>
      <c r="D956">
        <v>12</v>
      </c>
      <c r="E956" s="1">
        <v>38273</v>
      </c>
      <c r="F956" t="s">
        <v>0</v>
      </c>
      <c r="G956">
        <v>4</v>
      </c>
      <c r="H956">
        <v>2004</v>
      </c>
      <c r="I956" t="s">
        <v>38</v>
      </c>
      <c r="J956" t="s">
        <v>110</v>
      </c>
      <c r="K956" t="s">
        <v>178</v>
      </c>
      <c r="L956" t="s">
        <v>179</v>
      </c>
      <c r="M956" t="s">
        <v>180</v>
      </c>
      <c r="N956" t="s">
        <v>181</v>
      </c>
      <c r="O956" t="s">
        <v>182</v>
      </c>
      <c r="P956" t="s">
        <v>5</v>
      </c>
      <c r="Q956" t="s">
        <v>6</v>
      </c>
      <c r="R956" t="s">
        <v>332</v>
      </c>
      <c r="S956" t="s">
        <v>8</v>
      </c>
      <c r="T956" t="s">
        <v>324</v>
      </c>
      <c r="U956">
        <f>Sales_Order[[#This Row],[Quantity ordered]]*Sales_Order[[#This Row],[Price each]]</f>
        <v>2800</v>
      </c>
    </row>
    <row r="957" spans="1:21" x14ac:dyDescent="0.3">
      <c r="A957">
        <v>10313</v>
      </c>
      <c r="B957">
        <v>27</v>
      </c>
      <c r="C957">
        <v>87.64</v>
      </c>
      <c r="D957">
        <v>6</v>
      </c>
      <c r="E957" s="1">
        <v>38282</v>
      </c>
      <c r="F957" t="s">
        <v>0</v>
      </c>
      <c r="G957">
        <v>4</v>
      </c>
      <c r="H957">
        <v>2004</v>
      </c>
      <c r="I957" t="s">
        <v>38</v>
      </c>
      <c r="J957" t="s">
        <v>110</v>
      </c>
      <c r="K957" t="s">
        <v>205</v>
      </c>
      <c r="L957" t="s">
        <v>206</v>
      </c>
      <c r="M957" t="s">
        <v>207</v>
      </c>
      <c r="N957" t="s">
        <v>208</v>
      </c>
      <c r="O957" t="s">
        <v>209</v>
      </c>
      <c r="P957" t="s">
        <v>210</v>
      </c>
      <c r="Q957" t="s">
        <v>6</v>
      </c>
      <c r="R957" t="s">
        <v>343</v>
      </c>
      <c r="S957" t="s">
        <v>7</v>
      </c>
      <c r="T957" t="s">
        <v>324</v>
      </c>
      <c r="U957">
        <f>Sales_Order[[#This Row],[Quantity ordered]]*Sales_Order[[#This Row],[Price each]]</f>
        <v>2366.2800000000002</v>
      </c>
    </row>
    <row r="958" spans="1:21" x14ac:dyDescent="0.3">
      <c r="A958">
        <v>10324</v>
      </c>
      <c r="B958">
        <v>20</v>
      </c>
      <c r="C958">
        <v>98.18</v>
      </c>
      <c r="D958">
        <v>11</v>
      </c>
      <c r="E958" s="1">
        <v>38118</v>
      </c>
      <c r="F958" t="s">
        <v>0</v>
      </c>
      <c r="G958">
        <v>4</v>
      </c>
      <c r="H958">
        <v>2004</v>
      </c>
      <c r="I958" t="s">
        <v>38</v>
      </c>
      <c r="J958" t="s">
        <v>110</v>
      </c>
      <c r="K958" t="s">
        <v>15</v>
      </c>
      <c r="L958" t="s">
        <v>16</v>
      </c>
      <c r="M958" t="s">
        <v>3</v>
      </c>
      <c r="N958" t="s">
        <v>4</v>
      </c>
      <c r="O958" t="s">
        <v>135</v>
      </c>
      <c r="P958" t="s">
        <v>5</v>
      </c>
      <c r="Q958" t="s">
        <v>6</v>
      </c>
      <c r="R958" t="s">
        <v>326</v>
      </c>
      <c r="S958" t="s">
        <v>7</v>
      </c>
      <c r="T958" t="s">
        <v>334</v>
      </c>
      <c r="U958">
        <f>Sales_Order[[#This Row],[Quantity ordered]]*Sales_Order[[#This Row],[Price each]]</f>
        <v>1963.6000000000001</v>
      </c>
    </row>
    <row r="959" spans="1:21" x14ac:dyDescent="0.3">
      <c r="A959">
        <v>10335</v>
      </c>
      <c r="B959">
        <v>44</v>
      </c>
      <c r="C959">
        <v>100</v>
      </c>
      <c r="D959">
        <v>1</v>
      </c>
      <c r="E959" s="1">
        <v>38310</v>
      </c>
      <c r="F959" t="s">
        <v>0</v>
      </c>
      <c r="G959">
        <v>4</v>
      </c>
      <c r="H959">
        <v>2004</v>
      </c>
      <c r="I959" t="s">
        <v>38</v>
      </c>
      <c r="J959" t="s">
        <v>110</v>
      </c>
      <c r="K959" t="s">
        <v>225</v>
      </c>
      <c r="L959" t="s">
        <v>226</v>
      </c>
      <c r="M959" t="s">
        <v>227</v>
      </c>
      <c r="N959" t="s">
        <v>161</v>
      </c>
      <c r="O959" t="s">
        <v>177</v>
      </c>
      <c r="P959" t="s">
        <v>5</v>
      </c>
      <c r="Q959" t="s">
        <v>6</v>
      </c>
      <c r="R959" t="s">
        <v>349</v>
      </c>
      <c r="S959" t="s">
        <v>8</v>
      </c>
      <c r="T959" t="s">
        <v>334</v>
      </c>
      <c r="U959">
        <f>Sales_Order[[#This Row],[Quantity ordered]]*Sales_Order[[#This Row],[Price each]]</f>
        <v>4400</v>
      </c>
    </row>
    <row r="960" spans="1:21" x14ac:dyDescent="0.3">
      <c r="A960">
        <v>10371</v>
      </c>
      <c r="B960">
        <v>26</v>
      </c>
      <c r="C960">
        <v>100</v>
      </c>
      <c r="D960">
        <v>1</v>
      </c>
      <c r="E960" s="1">
        <v>38375</v>
      </c>
      <c r="F960" t="s">
        <v>0</v>
      </c>
      <c r="G960">
        <v>1</v>
      </c>
      <c r="H960">
        <v>2005</v>
      </c>
      <c r="I960" t="s">
        <v>38</v>
      </c>
      <c r="J960" t="s">
        <v>110</v>
      </c>
      <c r="K960" t="s">
        <v>225</v>
      </c>
      <c r="L960" t="s">
        <v>226</v>
      </c>
      <c r="M960" t="s">
        <v>227</v>
      </c>
      <c r="N960" t="s">
        <v>161</v>
      </c>
      <c r="O960" t="s">
        <v>177</v>
      </c>
      <c r="P960" t="s">
        <v>5</v>
      </c>
      <c r="Q960" t="s">
        <v>6</v>
      </c>
      <c r="R960" t="s">
        <v>349</v>
      </c>
      <c r="S960" t="s">
        <v>8</v>
      </c>
      <c r="T960" t="s">
        <v>345</v>
      </c>
      <c r="U960">
        <f>Sales_Order[[#This Row],[Quantity ordered]]*Sales_Order[[#This Row],[Price each]]</f>
        <v>2600</v>
      </c>
    </row>
    <row r="961" spans="1:21" x14ac:dyDescent="0.3">
      <c r="A961">
        <v>10382</v>
      </c>
      <c r="B961">
        <v>26</v>
      </c>
      <c r="C961">
        <v>100</v>
      </c>
      <c r="D961">
        <v>6</v>
      </c>
      <c r="E961" s="1">
        <v>38400</v>
      </c>
      <c r="F961" t="s">
        <v>0</v>
      </c>
      <c r="G961">
        <v>1</v>
      </c>
      <c r="H961">
        <v>2005</v>
      </c>
      <c r="I961" t="s">
        <v>38</v>
      </c>
      <c r="J961" t="s">
        <v>110</v>
      </c>
      <c r="K961" t="s">
        <v>225</v>
      </c>
      <c r="L961" t="s">
        <v>226</v>
      </c>
      <c r="M961" t="s">
        <v>227</v>
      </c>
      <c r="N961" t="s">
        <v>161</v>
      </c>
      <c r="O961" t="s">
        <v>177</v>
      </c>
      <c r="P961" t="s">
        <v>5</v>
      </c>
      <c r="Q961" t="s">
        <v>6</v>
      </c>
      <c r="R961" t="s">
        <v>349</v>
      </c>
      <c r="S961" t="s">
        <v>7</v>
      </c>
      <c r="T961" t="s">
        <v>320</v>
      </c>
      <c r="U961">
        <f>Sales_Order[[#This Row],[Quantity ordered]]*Sales_Order[[#This Row],[Price each]]</f>
        <v>2600</v>
      </c>
    </row>
    <row r="962" spans="1:21" x14ac:dyDescent="0.3">
      <c r="A962">
        <v>10411</v>
      </c>
      <c r="B962">
        <v>26</v>
      </c>
      <c r="C962">
        <v>100</v>
      </c>
      <c r="D962">
        <v>1</v>
      </c>
      <c r="E962" s="1">
        <v>38357</v>
      </c>
      <c r="F962" t="s">
        <v>0</v>
      </c>
      <c r="G962">
        <v>2</v>
      </c>
      <c r="H962">
        <v>2005</v>
      </c>
      <c r="I962" t="s">
        <v>38</v>
      </c>
      <c r="J962" t="s">
        <v>110</v>
      </c>
      <c r="K962" t="s">
        <v>237</v>
      </c>
      <c r="L962" t="s">
        <v>238</v>
      </c>
      <c r="M962" t="s">
        <v>239</v>
      </c>
      <c r="N962" t="s">
        <v>240</v>
      </c>
      <c r="O962" t="s">
        <v>241</v>
      </c>
      <c r="P962" t="s">
        <v>210</v>
      </c>
      <c r="Q962" t="s">
        <v>6</v>
      </c>
      <c r="R962" t="s">
        <v>353</v>
      </c>
      <c r="S962" t="s">
        <v>7</v>
      </c>
      <c r="T962" t="s">
        <v>329</v>
      </c>
      <c r="U962">
        <f>Sales_Order[[#This Row],[Quantity ordered]]*Sales_Order[[#This Row],[Price each]]</f>
        <v>2600</v>
      </c>
    </row>
    <row r="963" spans="1:21" x14ac:dyDescent="0.3">
      <c r="A963">
        <v>10107</v>
      </c>
      <c r="B963">
        <v>20</v>
      </c>
      <c r="C963">
        <v>92.9</v>
      </c>
      <c r="D963">
        <v>8</v>
      </c>
      <c r="E963" s="1">
        <v>37676</v>
      </c>
      <c r="F963" t="s">
        <v>0</v>
      </c>
      <c r="G963">
        <v>1</v>
      </c>
      <c r="H963">
        <v>2003</v>
      </c>
      <c r="I963" t="s">
        <v>1</v>
      </c>
      <c r="J963" t="s">
        <v>111</v>
      </c>
      <c r="K963" t="s">
        <v>155</v>
      </c>
      <c r="L963" t="s">
        <v>156</v>
      </c>
      <c r="M963" t="s">
        <v>3</v>
      </c>
      <c r="N963" t="s">
        <v>4</v>
      </c>
      <c r="O963" t="s">
        <v>135</v>
      </c>
      <c r="P963" t="s">
        <v>5</v>
      </c>
      <c r="Q963" t="s">
        <v>6</v>
      </c>
      <c r="R963" t="s">
        <v>319</v>
      </c>
      <c r="S963" t="s">
        <v>7</v>
      </c>
      <c r="T963" t="s">
        <v>320</v>
      </c>
      <c r="U963">
        <f>Sales_Order[[#This Row],[Quantity ordered]]*Sales_Order[[#This Row],[Price each]]</f>
        <v>1858</v>
      </c>
    </row>
    <row r="964" spans="1:21" x14ac:dyDescent="0.3">
      <c r="A964">
        <v>10120</v>
      </c>
      <c r="B964">
        <v>22</v>
      </c>
      <c r="C964">
        <v>100</v>
      </c>
      <c r="D964">
        <v>6</v>
      </c>
      <c r="E964" s="1">
        <v>37740</v>
      </c>
      <c r="F964" t="s">
        <v>0</v>
      </c>
      <c r="G964">
        <v>2</v>
      </c>
      <c r="H964">
        <v>2003</v>
      </c>
      <c r="I964" t="s">
        <v>1</v>
      </c>
      <c r="J964" t="s">
        <v>111</v>
      </c>
      <c r="K964" t="s">
        <v>9</v>
      </c>
      <c r="L964" t="s">
        <v>10</v>
      </c>
      <c r="M964" t="s">
        <v>11</v>
      </c>
      <c r="N964" t="s">
        <v>12</v>
      </c>
      <c r="O964" t="s">
        <v>134</v>
      </c>
      <c r="P964" t="s">
        <v>13</v>
      </c>
      <c r="Q964" t="s">
        <v>14</v>
      </c>
      <c r="R964" t="s">
        <v>325</v>
      </c>
      <c r="S964" t="s">
        <v>7</v>
      </c>
      <c r="T964" t="s">
        <v>327</v>
      </c>
      <c r="U964">
        <f>Sales_Order[[#This Row],[Quantity ordered]]*Sales_Order[[#This Row],[Price each]]</f>
        <v>2200</v>
      </c>
    </row>
    <row r="965" spans="1:21" x14ac:dyDescent="0.3">
      <c r="A965">
        <v>10145</v>
      </c>
      <c r="B965">
        <v>33</v>
      </c>
      <c r="C965">
        <v>93.9</v>
      </c>
      <c r="D965">
        <v>12</v>
      </c>
      <c r="E965" s="1">
        <v>37858</v>
      </c>
      <c r="F965" t="s">
        <v>0</v>
      </c>
      <c r="G965">
        <v>3</v>
      </c>
      <c r="H965">
        <v>2003</v>
      </c>
      <c r="I965" t="s">
        <v>1</v>
      </c>
      <c r="J965" t="s">
        <v>111</v>
      </c>
      <c r="K965" t="s">
        <v>158</v>
      </c>
      <c r="L965" t="s">
        <v>159</v>
      </c>
      <c r="M965" t="s">
        <v>160</v>
      </c>
      <c r="N965" t="s">
        <v>161</v>
      </c>
      <c r="O965" t="s">
        <v>162</v>
      </c>
      <c r="P965" t="s">
        <v>5</v>
      </c>
      <c r="Q965" t="s">
        <v>6</v>
      </c>
      <c r="R965" t="s">
        <v>321</v>
      </c>
      <c r="S965" t="s">
        <v>8</v>
      </c>
      <c r="T965" t="s">
        <v>322</v>
      </c>
      <c r="U965">
        <f>Sales_Order[[#This Row],[Quantity ordered]]*Sales_Order[[#This Row],[Price each]]</f>
        <v>3098.7000000000003</v>
      </c>
    </row>
    <row r="966" spans="1:21" x14ac:dyDescent="0.3">
      <c r="A966">
        <v>10168</v>
      </c>
      <c r="B966">
        <v>28</v>
      </c>
      <c r="C966">
        <v>100</v>
      </c>
      <c r="D966">
        <v>7</v>
      </c>
      <c r="E966" s="1">
        <v>37922</v>
      </c>
      <c r="F966" t="s">
        <v>0</v>
      </c>
      <c r="G966">
        <v>4</v>
      </c>
      <c r="H966">
        <v>2003</v>
      </c>
      <c r="I966" t="s">
        <v>1</v>
      </c>
      <c r="J966" t="s">
        <v>111</v>
      </c>
      <c r="K966" t="s">
        <v>163</v>
      </c>
      <c r="L966" t="s">
        <v>164</v>
      </c>
      <c r="M966" t="s">
        <v>165</v>
      </c>
      <c r="N966" t="s">
        <v>161</v>
      </c>
      <c r="O966" t="s">
        <v>166</v>
      </c>
      <c r="P966" t="s">
        <v>5</v>
      </c>
      <c r="Q966" t="s">
        <v>6</v>
      </c>
      <c r="R966" t="s">
        <v>323</v>
      </c>
      <c r="S966" t="s">
        <v>8</v>
      </c>
      <c r="T966" t="s">
        <v>324</v>
      </c>
      <c r="U966">
        <f>Sales_Order[[#This Row],[Quantity ordered]]*Sales_Order[[#This Row],[Price each]]</f>
        <v>2800</v>
      </c>
    </row>
    <row r="967" spans="1:21" x14ac:dyDescent="0.3">
      <c r="A967">
        <v>10210</v>
      </c>
      <c r="B967">
        <v>46</v>
      </c>
      <c r="C967">
        <v>79.91</v>
      </c>
      <c r="D967">
        <v>5</v>
      </c>
      <c r="E967" s="1">
        <v>38322</v>
      </c>
      <c r="F967" t="s">
        <v>0</v>
      </c>
      <c r="G967">
        <v>1</v>
      </c>
      <c r="H967">
        <v>2004</v>
      </c>
      <c r="I967" t="s">
        <v>1</v>
      </c>
      <c r="J967" t="s">
        <v>111</v>
      </c>
      <c r="K967" t="s">
        <v>242</v>
      </c>
      <c r="L967" t="s">
        <v>243</v>
      </c>
      <c r="M967" t="s">
        <v>244</v>
      </c>
      <c r="N967" t="s">
        <v>244</v>
      </c>
      <c r="O967" t="s">
        <v>245</v>
      </c>
      <c r="P967" t="s">
        <v>195</v>
      </c>
      <c r="Q967" t="s">
        <v>195</v>
      </c>
      <c r="R967" t="s">
        <v>354</v>
      </c>
      <c r="S967" t="s">
        <v>8</v>
      </c>
      <c r="T967" t="s">
        <v>345</v>
      </c>
      <c r="U967">
        <f>Sales_Order[[#This Row],[Quantity ordered]]*Sales_Order[[#This Row],[Price each]]</f>
        <v>3675.8599999999997</v>
      </c>
    </row>
    <row r="968" spans="1:21" x14ac:dyDescent="0.3">
      <c r="A968">
        <v>10223</v>
      </c>
      <c r="B968">
        <v>21</v>
      </c>
      <c r="C968">
        <v>100</v>
      </c>
      <c r="D968">
        <v>7</v>
      </c>
      <c r="E968" s="1">
        <v>38037</v>
      </c>
      <c r="F968" t="s">
        <v>0</v>
      </c>
      <c r="G968">
        <v>1</v>
      </c>
      <c r="H968">
        <v>2004</v>
      </c>
      <c r="I968" t="s">
        <v>1</v>
      </c>
      <c r="J968" t="s">
        <v>111</v>
      </c>
      <c r="K968" t="s">
        <v>9</v>
      </c>
      <c r="L968" t="s">
        <v>10</v>
      </c>
      <c r="M968" t="s">
        <v>11</v>
      </c>
      <c r="N968" t="s">
        <v>12</v>
      </c>
      <c r="O968" t="s">
        <v>134</v>
      </c>
      <c r="P968" t="s">
        <v>13</v>
      </c>
      <c r="Q968" t="s">
        <v>14</v>
      </c>
      <c r="R968" t="s">
        <v>325</v>
      </c>
      <c r="S968" t="s">
        <v>7</v>
      </c>
      <c r="T968" t="s">
        <v>320</v>
      </c>
      <c r="U968">
        <f>Sales_Order[[#This Row],[Quantity ordered]]*Sales_Order[[#This Row],[Price each]]</f>
        <v>2100</v>
      </c>
    </row>
    <row r="969" spans="1:21" x14ac:dyDescent="0.3">
      <c r="A969">
        <v>10235</v>
      </c>
      <c r="B969">
        <v>41</v>
      </c>
      <c r="C969">
        <v>100</v>
      </c>
      <c r="D969">
        <v>1</v>
      </c>
      <c r="E969" s="1">
        <v>38021</v>
      </c>
      <c r="F969" t="s">
        <v>0</v>
      </c>
      <c r="G969">
        <v>2</v>
      </c>
      <c r="H969">
        <v>2004</v>
      </c>
      <c r="I969" t="s">
        <v>1</v>
      </c>
      <c r="J969" t="s">
        <v>111</v>
      </c>
      <c r="K969" t="s">
        <v>259</v>
      </c>
      <c r="L969" t="s">
        <v>260</v>
      </c>
      <c r="M969" t="s">
        <v>261</v>
      </c>
      <c r="N969" t="s">
        <v>208</v>
      </c>
      <c r="O969" t="s">
        <v>262</v>
      </c>
      <c r="P969" t="s">
        <v>210</v>
      </c>
      <c r="Q969" t="s">
        <v>6</v>
      </c>
      <c r="R969" t="s">
        <v>359</v>
      </c>
      <c r="S969" t="s">
        <v>8</v>
      </c>
      <c r="T969" t="s">
        <v>327</v>
      </c>
      <c r="U969">
        <f>Sales_Order[[#This Row],[Quantity ordered]]*Sales_Order[[#This Row],[Price each]]</f>
        <v>4100</v>
      </c>
    </row>
    <row r="970" spans="1:21" x14ac:dyDescent="0.3">
      <c r="A970">
        <v>10250</v>
      </c>
      <c r="B970">
        <v>31</v>
      </c>
      <c r="C970">
        <v>100</v>
      </c>
      <c r="D970">
        <v>2</v>
      </c>
      <c r="E970" s="1">
        <v>38296</v>
      </c>
      <c r="F970" t="s">
        <v>0</v>
      </c>
      <c r="G970">
        <v>2</v>
      </c>
      <c r="H970">
        <v>2004</v>
      </c>
      <c r="I970" t="s">
        <v>1</v>
      </c>
      <c r="J970" t="s">
        <v>111</v>
      </c>
      <c r="K970" t="s">
        <v>272</v>
      </c>
      <c r="L970" t="s">
        <v>273</v>
      </c>
      <c r="M970" t="s">
        <v>274</v>
      </c>
      <c r="N970" t="s">
        <v>161</v>
      </c>
      <c r="O970" t="s">
        <v>166</v>
      </c>
      <c r="P970" t="s">
        <v>5</v>
      </c>
      <c r="Q970" t="s">
        <v>6</v>
      </c>
      <c r="R970" t="s">
        <v>363</v>
      </c>
      <c r="S970" t="s">
        <v>8</v>
      </c>
      <c r="T970" t="s">
        <v>329</v>
      </c>
      <c r="U970">
        <f>Sales_Order[[#This Row],[Quantity ordered]]*Sales_Order[[#This Row],[Price each]]</f>
        <v>3100</v>
      </c>
    </row>
    <row r="971" spans="1:21" x14ac:dyDescent="0.3">
      <c r="A971">
        <v>10263</v>
      </c>
      <c r="B971">
        <v>31</v>
      </c>
      <c r="C971">
        <v>79.91</v>
      </c>
      <c r="D971">
        <v>8</v>
      </c>
      <c r="E971" s="1">
        <v>38166</v>
      </c>
      <c r="F971" t="s">
        <v>0</v>
      </c>
      <c r="G971">
        <v>2</v>
      </c>
      <c r="H971">
        <v>2004</v>
      </c>
      <c r="I971" t="s">
        <v>1</v>
      </c>
      <c r="J971" t="s">
        <v>111</v>
      </c>
      <c r="K971" t="s">
        <v>173</v>
      </c>
      <c r="L971" t="s">
        <v>174</v>
      </c>
      <c r="M971" t="s">
        <v>175</v>
      </c>
      <c r="N971" t="s">
        <v>176</v>
      </c>
      <c r="O971" t="s">
        <v>177</v>
      </c>
      <c r="P971" t="s">
        <v>5</v>
      </c>
      <c r="Q971" t="s">
        <v>6</v>
      </c>
      <c r="R971" t="s">
        <v>330</v>
      </c>
      <c r="S971" t="s">
        <v>7</v>
      </c>
      <c r="T971" t="s">
        <v>331</v>
      </c>
      <c r="U971">
        <f>Sales_Order[[#This Row],[Quantity ordered]]*Sales_Order[[#This Row],[Price each]]</f>
        <v>2477.21</v>
      </c>
    </row>
    <row r="972" spans="1:21" x14ac:dyDescent="0.3">
      <c r="A972">
        <v>10285</v>
      </c>
      <c r="B972">
        <v>37</v>
      </c>
      <c r="C972">
        <v>98.89</v>
      </c>
      <c r="D972">
        <v>12</v>
      </c>
      <c r="E972" s="1">
        <v>38226</v>
      </c>
      <c r="F972" t="s">
        <v>0</v>
      </c>
      <c r="G972">
        <v>3</v>
      </c>
      <c r="H972">
        <v>2004</v>
      </c>
      <c r="I972" t="s">
        <v>1</v>
      </c>
      <c r="J972" t="s">
        <v>111</v>
      </c>
      <c r="K972" t="s">
        <v>178</v>
      </c>
      <c r="L972" t="s">
        <v>179</v>
      </c>
      <c r="M972" t="s">
        <v>180</v>
      </c>
      <c r="N972" t="s">
        <v>181</v>
      </c>
      <c r="O972" t="s">
        <v>182</v>
      </c>
      <c r="P972" t="s">
        <v>5</v>
      </c>
      <c r="Q972" t="s">
        <v>6</v>
      </c>
      <c r="R972" t="s">
        <v>332</v>
      </c>
      <c r="S972" t="s">
        <v>8</v>
      </c>
      <c r="T972" t="s">
        <v>322</v>
      </c>
      <c r="U972">
        <f>Sales_Order[[#This Row],[Quantity ordered]]*Sales_Order[[#This Row],[Price each]]</f>
        <v>3658.93</v>
      </c>
    </row>
    <row r="973" spans="1:21" x14ac:dyDescent="0.3">
      <c r="A973">
        <v>10308</v>
      </c>
      <c r="B973">
        <v>24</v>
      </c>
      <c r="C973">
        <v>79.91</v>
      </c>
      <c r="D973">
        <v>5</v>
      </c>
      <c r="E973" s="1">
        <v>38275</v>
      </c>
      <c r="F973" t="s">
        <v>0</v>
      </c>
      <c r="G973">
        <v>4</v>
      </c>
      <c r="H973">
        <v>2004</v>
      </c>
      <c r="I973" t="s">
        <v>1</v>
      </c>
      <c r="J973" t="s">
        <v>111</v>
      </c>
      <c r="K973" t="s">
        <v>248</v>
      </c>
      <c r="L973" t="s">
        <v>249</v>
      </c>
      <c r="M973" t="s">
        <v>250</v>
      </c>
      <c r="N973" t="s">
        <v>4</v>
      </c>
      <c r="O973" t="s">
        <v>251</v>
      </c>
      <c r="P973" t="s">
        <v>5</v>
      </c>
      <c r="Q973" t="s">
        <v>6</v>
      </c>
      <c r="R973" t="s">
        <v>356</v>
      </c>
      <c r="S973" t="s">
        <v>7</v>
      </c>
      <c r="T973" t="s">
        <v>324</v>
      </c>
      <c r="U973">
        <f>Sales_Order[[#This Row],[Quantity ordered]]*Sales_Order[[#This Row],[Price each]]</f>
        <v>1917.84</v>
      </c>
    </row>
    <row r="974" spans="1:21" x14ac:dyDescent="0.3">
      <c r="A974">
        <v>10318</v>
      </c>
      <c r="B974">
        <v>47</v>
      </c>
      <c r="C974">
        <v>100</v>
      </c>
      <c r="D974">
        <v>7</v>
      </c>
      <c r="E974" s="1">
        <v>38028</v>
      </c>
      <c r="F974" t="s">
        <v>0</v>
      </c>
      <c r="G974">
        <v>4</v>
      </c>
      <c r="H974">
        <v>2004</v>
      </c>
      <c r="I974" t="s">
        <v>1</v>
      </c>
      <c r="J974" t="s">
        <v>111</v>
      </c>
      <c r="K974" t="s">
        <v>183</v>
      </c>
      <c r="L974" t="s">
        <v>184</v>
      </c>
      <c r="M974" t="s">
        <v>185</v>
      </c>
      <c r="N974" t="s">
        <v>186</v>
      </c>
      <c r="O974" t="s">
        <v>187</v>
      </c>
      <c r="P974" t="s">
        <v>5</v>
      </c>
      <c r="Q974" t="s">
        <v>6</v>
      </c>
      <c r="R974" t="s">
        <v>333</v>
      </c>
      <c r="S974" t="s">
        <v>8</v>
      </c>
      <c r="T974" t="s">
        <v>334</v>
      </c>
      <c r="U974">
        <f>Sales_Order[[#This Row],[Quantity ordered]]*Sales_Order[[#This Row],[Price each]]</f>
        <v>4700</v>
      </c>
    </row>
    <row r="975" spans="1:21" x14ac:dyDescent="0.3">
      <c r="A975">
        <v>10329</v>
      </c>
      <c r="B975">
        <v>45</v>
      </c>
      <c r="C975">
        <v>63.91</v>
      </c>
      <c r="D975">
        <v>11</v>
      </c>
      <c r="E975" s="1">
        <v>38306</v>
      </c>
      <c r="F975" t="s">
        <v>0</v>
      </c>
      <c r="G975">
        <v>4</v>
      </c>
      <c r="H975">
        <v>2004</v>
      </c>
      <c r="I975" t="s">
        <v>1</v>
      </c>
      <c r="J975" t="s">
        <v>111</v>
      </c>
      <c r="K975" t="s">
        <v>155</v>
      </c>
      <c r="L975" t="s">
        <v>156</v>
      </c>
      <c r="M975" t="s">
        <v>3</v>
      </c>
      <c r="N975" t="s">
        <v>4</v>
      </c>
      <c r="O975" t="s">
        <v>135</v>
      </c>
      <c r="P975" t="s">
        <v>5</v>
      </c>
      <c r="Q975" t="s">
        <v>6</v>
      </c>
      <c r="R975" t="s">
        <v>319</v>
      </c>
      <c r="S975" t="s">
        <v>7</v>
      </c>
      <c r="T975" t="s">
        <v>334</v>
      </c>
      <c r="U975">
        <f>Sales_Order[[#This Row],[Quantity ordered]]*Sales_Order[[#This Row],[Price each]]</f>
        <v>2875.95</v>
      </c>
    </row>
    <row r="976" spans="1:21" x14ac:dyDescent="0.3">
      <c r="A976">
        <v>10353</v>
      </c>
      <c r="B976">
        <v>46</v>
      </c>
      <c r="C976">
        <v>81.17</v>
      </c>
      <c r="D976">
        <v>5</v>
      </c>
      <c r="E976" s="1">
        <v>38089</v>
      </c>
      <c r="F976" t="s">
        <v>0</v>
      </c>
      <c r="G976">
        <v>4</v>
      </c>
      <c r="H976">
        <v>2004</v>
      </c>
      <c r="I976" t="s">
        <v>1</v>
      </c>
      <c r="J976" t="s">
        <v>111</v>
      </c>
      <c r="K976" t="s">
        <v>301</v>
      </c>
      <c r="L976" t="s">
        <v>302</v>
      </c>
      <c r="M976" t="s">
        <v>284</v>
      </c>
      <c r="N976" t="s">
        <v>176</v>
      </c>
      <c r="O976" t="s">
        <v>303</v>
      </c>
      <c r="P976" t="s">
        <v>5</v>
      </c>
      <c r="Q976" t="s">
        <v>6</v>
      </c>
      <c r="R976" t="s">
        <v>372</v>
      </c>
      <c r="S976" t="s">
        <v>8</v>
      </c>
      <c r="T976" t="s">
        <v>336</v>
      </c>
      <c r="U976">
        <f>Sales_Order[[#This Row],[Quantity ordered]]*Sales_Order[[#This Row],[Price each]]</f>
        <v>3733.82</v>
      </c>
    </row>
    <row r="977" spans="1:21" x14ac:dyDescent="0.3">
      <c r="A977">
        <v>10401</v>
      </c>
      <c r="B977">
        <v>49</v>
      </c>
      <c r="C977">
        <v>100</v>
      </c>
      <c r="D977">
        <v>1</v>
      </c>
      <c r="E977" s="1">
        <v>38415</v>
      </c>
      <c r="F977" t="s">
        <v>275</v>
      </c>
      <c r="G977">
        <v>2</v>
      </c>
      <c r="H977">
        <v>2005</v>
      </c>
      <c r="I977" t="s">
        <v>1</v>
      </c>
      <c r="J977" t="s">
        <v>111</v>
      </c>
      <c r="K977" t="s">
        <v>168</v>
      </c>
      <c r="L977" t="s">
        <v>169</v>
      </c>
      <c r="M977" t="s">
        <v>170</v>
      </c>
      <c r="N977" t="s">
        <v>171</v>
      </c>
      <c r="O977" t="s">
        <v>172</v>
      </c>
      <c r="P977" t="s">
        <v>5</v>
      </c>
      <c r="Q977" t="s">
        <v>6</v>
      </c>
      <c r="R977" t="s">
        <v>328</v>
      </c>
      <c r="S977" t="s">
        <v>8</v>
      </c>
      <c r="T977" t="s">
        <v>327</v>
      </c>
      <c r="U977">
        <f>Sales_Order[[#This Row],[Quantity ordered]]*Sales_Order[[#This Row],[Price each]]</f>
        <v>4900</v>
      </c>
    </row>
    <row r="978" spans="1:21" x14ac:dyDescent="0.3">
      <c r="A978">
        <v>10135</v>
      </c>
      <c r="B978">
        <v>33</v>
      </c>
      <c r="C978">
        <v>40.229999999999997</v>
      </c>
      <c r="D978">
        <v>14</v>
      </c>
      <c r="E978" s="1">
        <v>37659</v>
      </c>
      <c r="F978" t="s">
        <v>0</v>
      </c>
      <c r="G978">
        <v>3</v>
      </c>
      <c r="H978">
        <v>2003</v>
      </c>
      <c r="I978" t="s">
        <v>1</v>
      </c>
      <c r="J978" t="s">
        <v>112</v>
      </c>
      <c r="K978" t="s">
        <v>225</v>
      </c>
      <c r="L978" t="s">
        <v>226</v>
      </c>
      <c r="M978" t="s">
        <v>227</v>
      </c>
      <c r="N978" t="s">
        <v>161</v>
      </c>
      <c r="O978" t="s">
        <v>177</v>
      </c>
      <c r="P978" t="s">
        <v>5</v>
      </c>
      <c r="Q978" t="s">
        <v>6</v>
      </c>
      <c r="R978" t="s">
        <v>349</v>
      </c>
      <c r="S978" t="s">
        <v>7</v>
      </c>
      <c r="T978" t="s">
        <v>339</v>
      </c>
      <c r="U978">
        <f>Sales_Order[[#This Row],[Quantity ordered]]*Sales_Order[[#This Row],[Price each]]</f>
        <v>1327.59</v>
      </c>
    </row>
    <row r="979" spans="1:21" x14ac:dyDescent="0.3">
      <c r="A979">
        <v>10145</v>
      </c>
      <c r="B979">
        <v>31</v>
      </c>
      <c r="C979">
        <v>35.799999999999997</v>
      </c>
      <c r="D979">
        <v>1</v>
      </c>
      <c r="E979" s="1">
        <v>37858</v>
      </c>
      <c r="F979" t="s">
        <v>0</v>
      </c>
      <c r="G979">
        <v>3</v>
      </c>
      <c r="H979">
        <v>2003</v>
      </c>
      <c r="I979" t="s">
        <v>1</v>
      </c>
      <c r="J979" t="s">
        <v>112</v>
      </c>
      <c r="K979" t="s">
        <v>158</v>
      </c>
      <c r="L979" t="s">
        <v>159</v>
      </c>
      <c r="M979" t="s">
        <v>160</v>
      </c>
      <c r="N979" t="s">
        <v>161</v>
      </c>
      <c r="O979" t="s">
        <v>162</v>
      </c>
      <c r="P979" t="s">
        <v>5</v>
      </c>
      <c r="Q979" t="s">
        <v>6</v>
      </c>
      <c r="R979" t="s">
        <v>321</v>
      </c>
      <c r="S979" t="s">
        <v>7</v>
      </c>
      <c r="T979" t="s">
        <v>322</v>
      </c>
      <c r="U979">
        <f>Sales_Order[[#This Row],[Quantity ordered]]*Sales_Order[[#This Row],[Price each]]</f>
        <v>1109.8</v>
      </c>
    </row>
    <row r="980" spans="1:21" x14ac:dyDescent="0.3">
      <c r="A980">
        <v>10169</v>
      </c>
      <c r="B980">
        <v>26</v>
      </c>
      <c r="C980">
        <v>39.83</v>
      </c>
      <c r="D980">
        <v>9</v>
      </c>
      <c r="E980" s="1">
        <v>37722</v>
      </c>
      <c r="F980" t="s">
        <v>0</v>
      </c>
      <c r="G980">
        <v>4</v>
      </c>
      <c r="H980">
        <v>2003</v>
      </c>
      <c r="I980" t="s">
        <v>1</v>
      </c>
      <c r="J980" t="s">
        <v>112</v>
      </c>
      <c r="K980" t="s">
        <v>26</v>
      </c>
      <c r="L980" t="s">
        <v>27</v>
      </c>
      <c r="M980" t="s">
        <v>28</v>
      </c>
      <c r="N980" t="s">
        <v>21</v>
      </c>
      <c r="O980" t="s">
        <v>137</v>
      </c>
      <c r="P980" t="s">
        <v>13</v>
      </c>
      <c r="Q980" t="s">
        <v>14</v>
      </c>
      <c r="R980" t="s">
        <v>352</v>
      </c>
      <c r="S980" t="s">
        <v>7</v>
      </c>
      <c r="T980" t="s">
        <v>334</v>
      </c>
      <c r="U980">
        <f>Sales_Order[[#This Row],[Quantity ordered]]*Sales_Order[[#This Row],[Price each]]</f>
        <v>1035.58</v>
      </c>
    </row>
    <row r="981" spans="1:21" x14ac:dyDescent="0.3">
      <c r="A981">
        <v>10237</v>
      </c>
      <c r="B981">
        <v>26</v>
      </c>
      <c r="C981">
        <v>40.229999999999997</v>
      </c>
      <c r="D981">
        <v>2</v>
      </c>
      <c r="E981" s="1">
        <v>38111</v>
      </c>
      <c r="F981" t="s">
        <v>0</v>
      </c>
      <c r="G981">
        <v>2</v>
      </c>
      <c r="H981">
        <v>2004</v>
      </c>
      <c r="I981" t="s">
        <v>1</v>
      </c>
      <c r="J981" t="s">
        <v>112</v>
      </c>
      <c r="K981" t="s">
        <v>15</v>
      </c>
      <c r="L981" t="s">
        <v>16</v>
      </c>
      <c r="M981" t="s">
        <v>3</v>
      </c>
      <c r="N981" t="s">
        <v>4</v>
      </c>
      <c r="O981" t="s">
        <v>135</v>
      </c>
      <c r="P981" t="s">
        <v>5</v>
      </c>
      <c r="Q981" t="s">
        <v>6</v>
      </c>
      <c r="R981" t="s">
        <v>326</v>
      </c>
      <c r="S981" t="s">
        <v>7</v>
      </c>
      <c r="T981" t="s">
        <v>327</v>
      </c>
      <c r="U981">
        <f>Sales_Order[[#This Row],[Quantity ordered]]*Sales_Order[[#This Row],[Price each]]</f>
        <v>1045.98</v>
      </c>
    </row>
    <row r="982" spans="1:21" x14ac:dyDescent="0.3">
      <c r="A982">
        <v>10264</v>
      </c>
      <c r="B982">
        <v>20</v>
      </c>
      <c r="C982">
        <v>32.590000000000003</v>
      </c>
      <c r="D982">
        <v>4</v>
      </c>
      <c r="E982" s="1">
        <v>38168</v>
      </c>
      <c r="F982" t="s">
        <v>0</v>
      </c>
      <c r="G982">
        <v>2</v>
      </c>
      <c r="H982">
        <v>2004</v>
      </c>
      <c r="I982" t="s">
        <v>1</v>
      </c>
      <c r="J982" t="s">
        <v>112</v>
      </c>
      <c r="K982" t="s">
        <v>263</v>
      </c>
      <c r="L982" t="s">
        <v>264</v>
      </c>
      <c r="M982" t="s">
        <v>265</v>
      </c>
      <c r="N982" t="s">
        <v>181</v>
      </c>
      <c r="O982" t="s">
        <v>266</v>
      </c>
      <c r="P982" t="s">
        <v>5</v>
      </c>
      <c r="Q982" t="s">
        <v>6</v>
      </c>
      <c r="R982" t="s">
        <v>360</v>
      </c>
      <c r="S982" t="s">
        <v>7</v>
      </c>
      <c r="T982" t="s">
        <v>331</v>
      </c>
      <c r="U982">
        <f>Sales_Order[[#This Row],[Quantity ordered]]*Sales_Order[[#This Row],[Price each]]</f>
        <v>651.80000000000007</v>
      </c>
    </row>
    <row r="983" spans="1:21" x14ac:dyDescent="0.3">
      <c r="A983">
        <v>10276</v>
      </c>
      <c r="B983">
        <v>27</v>
      </c>
      <c r="C983">
        <v>36.61</v>
      </c>
      <c r="D983">
        <v>10</v>
      </c>
      <c r="E983" s="1">
        <v>38025</v>
      </c>
      <c r="F983" t="s">
        <v>0</v>
      </c>
      <c r="G983">
        <v>3</v>
      </c>
      <c r="H983">
        <v>2004</v>
      </c>
      <c r="I983" t="s">
        <v>1</v>
      </c>
      <c r="J983" t="s">
        <v>112</v>
      </c>
      <c r="K983" t="s">
        <v>279</v>
      </c>
      <c r="L983" t="s">
        <v>280</v>
      </c>
      <c r="M983" t="s">
        <v>235</v>
      </c>
      <c r="N983" t="s">
        <v>181</v>
      </c>
      <c r="O983" t="s">
        <v>236</v>
      </c>
      <c r="P983" t="s">
        <v>5</v>
      </c>
      <c r="Q983" t="s">
        <v>6</v>
      </c>
      <c r="R983" t="s">
        <v>365</v>
      </c>
      <c r="S983" t="s">
        <v>7</v>
      </c>
      <c r="T983" t="s">
        <v>322</v>
      </c>
      <c r="U983">
        <f>Sales_Order[[#This Row],[Quantity ordered]]*Sales_Order[[#This Row],[Price each]]</f>
        <v>988.47</v>
      </c>
    </row>
    <row r="984" spans="1:21" x14ac:dyDescent="0.3">
      <c r="A984">
        <v>10285</v>
      </c>
      <c r="B984">
        <v>37</v>
      </c>
      <c r="C984">
        <v>41.03</v>
      </c>
      <c r="D984">
        <v>1</v>
      </c>
      <c r="E984" s="1">
        <v>38226</v>
      </c>
      <c r="F984" t="s">
        <v>0</v>
      </c>
      <c r="G984">
        <v>3</v>
      </c>
      <c r="H984">
        <v>2004</v>
      </c>
      <c r="I984" t="s">
        <v>1</v>
      </c>
      <c r="J984" t="s">
        <v>112</v>
      </c>
      <c r="K984" t="s">
        <v>178</v>
      </c>
      <c r="L984" t="s">
        <v>179</v>
      </c>
      <c r="M984" t="s">
        <v>180</v>
      </c>
      <c r="N984" t="s">
        <v>181</v>
      </c>
      <c r="O984" t="s">
        <v>182</v>
      </c>
      <c r="P984" t="s">
        <v>5</v>
      </c>
      <c r="Q984" t="s">
        <v>6</v>
      </c>
      <c r="R984" t="s">
        <v>332</v>
      </c>
      <c r="S984" t="s">
        <v>7</v>
      </c>
      <c r="T984" t="s">
        <v>322</v>
      </c>
      <c r="U984">
        <f>Sales_Order[[#This Row],[Quantity ordered]]*Sales_Order[[#This Row],[Price each]]</f>
        <v>1518.1100000000001</v>
      </c>
    </row>
    <row r="985" spans="1:21" x14ac:dyDescent="0.3">
      <c r="A985">
        <v>10319</v>
      </c>
      <c r="B985">
        <v>29</v>
      </c>
      <c r="C985">
        <v>38.22</v>
      </c>
      <c r="D985">
        <v>5</v>
      </c>
      <c r="E985" s="1">
        <v>38057</v>
      </c>
      <c r="F985" t="s">
        <v>0</v>
      </c>
      <c r="G985">
        <v>4</v>
      </c>
      <c r="H985">
        <v>2004</v>
      </c>
      <c r="I985" t="s">
        <v>1</v>
      </c>
      <c r="J985" t="s">
        <v>112</v>
      </c>
      <c r="K985" t="s">
        <v>41</v>
      </c>
      <c r="L985" t="s">
        <v>42</v>
      </c>
      <c r="M985" t="s">
        <v>3</v>
      </c>
      <c r="N985" t="s">
        <v>4</v>
      </c>
      <c r="O985" t="s">
        <v>135</v>
      </c>
      <c r="P985" t="s">
        <v>5</v>
      </c>
      <c r="Q985" t="s">
        <v>6</v>
      </c>
      <c r="R985" t="s">
        <v>367</v>
      </c>
      <c r="S985" t="s">
        <v>7</v>
      </c>
      <c r="T985" t="s">
        <v>334</v>
      </c>
      <c r="U985">
        <f>Sales_Order[[#This Row],[Quantity ordered]]*Sales_Order[[#This Row],[Price each]]</f>
        <v>1108.3799999999999</v>
      </c>
    </row>
    <row r="986" spans="1:21" x14ac:dyDescent="0.3">
      <c r="A986">
        <v>10331</v>
      </c>
      <c r="B986">
        <v>28</v>
      </c>
      <c r="C986">
        <v>100</v>
      </c>
      <c r="D986">
        <v>3</v>
      </c>
      <c r="E986" s="1">
        <v>38308</v>
      </c>
      <c r="F986" t="s">
        <v>0</v>
      </c>
      <c r="G986">
        <v>4</v>
      </c>
      <c r="H986">
        <v>2004</v>
      </c>
      <c r="I986" t="s">
        <v>1</v>
      </c>
      <c r="J986" t="s">
        <v>112</v>
      </c>
      <c r="K986" t="s">
        <v>246</v>
      </c>
      <c r="L986" t="s">
        <v>247</v>
      </c>
      <c r="M986" t="s">
        <v>203</v>
      </c>
      <c r="N986" t="s">
        <v>186</v>
      </c>
      <c r="O986" t="s">
        <v>204</v>
      </c>
      <c r="P986" t="s">
        <v>5</v>
      </c>
      <c r="Q986" t="s">
        <v>6</v>
      </c>
      <c r="R986" t="s">
        <v>355</v>
      </c>
      <c r="S986" t="s">
        <v>8</v>
      </c>
      <c r="T986" t="s">
        <v>334</v>
      </c>
      <c r="U986">
        <f>Sales_Order[[#This Row],[Quantity ordered]]*Sales_Order[[#This Row],[Price each]]</f>
        <v>2800</v>
      </c>
    </row>
    <row r="987" spans="1:21" x14ac:dyDescent="0.3">
      <c r="A987">
        <v>10390</v>
      </c>
      <c r="B987">
        <v>41</v>
      </c>
      <c r="C987">
        <v>44.56</v>
      </c>
      <c r="D987">
        <v>11</v>
      </c>
      <c r="E987" s="1">
        <v>38445</v>
      </c>
      <c r="F987" t="s">
        <v>0</v>
      </c>
      <c r="G987">
        <v>1</v>
      </c>
      <c r="H987">
        <v>2005</v>
      </c>
      <c r="I987" t="s">
        <v>1</v>
      </c>
      <c r="J987" t="s">
        <v>112</v>
      </c>
      <c r="K987" t="s">
        <v>225</v>
      </c>
      <c r="L987" t="s">
        <v>226</v>
      </c>
      <c r="M987" t="s">
        <v>227</v>
      </c>
      <c r="N987" t="s">
        <v>161</v>
      </c>
      <c r="O987" t="s">
        <v>177</v>
      </c>
      <c r="P987" t="s">
        <v>5</v>
      </c>
      <c r="Q987" t="s">
        <v>6</v>
      </c>
      <c r="R987" t="s">
        <v>349</v>
      </c>
      <c r="S987" t="s">
        <v>7</v>
      </c>
      <c r="T987" t="s">
        <v>338</v>
      </c>
      <c r="U987">
        <f>Sales_Order[[#This Row],[Quantity ordered]]*Sales_Order[[#This Row],[Price each]]</f>
        <v>1826.96</v>
      </c>
    </row>
    <row r="988" spans="1:21" x14ac:dyDescent="0.3">
      <c r="A988">
        <v>10127</v>
      </c>
      <c r="B988">
        <v>45</v>
      </c>
      <c r="C988">
        <v>51.95</v>
      </c>
      <c r="D988">
        <v>13</v>
      </c>
      <c r="E988" s="1">
        <v>37686</v>
      </c>
      <c r="F988" t="s">
        <v>0</v>
      </c>
      <c r="G988">
        <v>2</v>
      </c>
      <c r="H988">
        <v>2003</v>
      </c>
      <c r="I988" t="s">
        <v>38</v>
      </c>
      <c r="J988" t="s">
        <v>113</v>
      </c>
      <c r="K988" t="s">
        <v>36</v>
      </c>
      <c r="L988" t="s">
        <v>37</v>
      </c>
      <c r="M988" t="s">
        <v>3</v>
      </c>
      <c r="N988" t="s">
        <v>4</v>
      </c>
      <c r="O988" t="s">
        <v>135</v>
      </c>
      <c r="P988" t="s">
        <v>5</v>
      </c>
      <c r="Q988" t="s">
        <v>6</v>
      </c>
      <c r="R988" t="s">
        <v>366</v>
      </c>
      <c r="S988" t="s">
        <v>7</v>
      </c>
      <c r="T988" t="s">
        <v>331</v>
      </c>
      <c r="U988">
        <f>Sales_Order[[#This Row],[Quantity ordered]]*Sales_Order[[#This Row],[Price each]]</f>
        <v>2337.75</v>
      </c>
    </row>
    <row r="989" spans="1:21" x14ac:dyDescent="0.3">
      <c r="A989">
        <v>10195</v>
      </c>
      <c r="B989">
        <v>32</v>
      </c>
      <c r="C989">
        <v>43.29</v>
      </c>
      <c r="D989">
        <v>8</v>
      </c>
      <c r="E989" s="1">
        <v>37950</v>
      </c>
      <c r="F989" t="s">
        <v>0</v>
      </c>
      <c r="G989">
        <v>4</v>
      </c>
      <c r="H989">
        <v>2003</v>
      </c>
      <c r="I989" t="s">
        <v>38</v>
      </c>
      <c r="J989" t="s">
        <v>113</v>
      </c>
      <c r="K989" t="s">
        <v>248</v>
      </c>
      <c r="L989" t="s">
        <v>249</v>
      </c>
      <c r="M989" t="s">
        <v>250</v>
      </c>
      <c r="N989" t="s">
        <v>4</v>
      </c>
      <c r="O989" t="s">
        <v>251</v>
      </c>
      <c r="P989" t="s">
        <v>5</v>
      </c>
      <c r="Q989" t="s">
        <v>6</v>
      </c>
      <c r="R989" t="s">
        <v>356</v>
      </c>
      <c r="S989" t="s">
        <v>7</v>
      </c>
      <c r="T989" t="s">
        <v>334</v>
      </c>
      <c r="U989">
        <f>Sales_Order[[#This Row],[Quantity ordered]]*Sales_Order[[#This Row],[Price each]]</f>
        <v>1385.28</v>
      </c>
    </row>
    <row r="990" spans="1:21" x14ac:dyDescent="0.3">
      <c r="A990">
        <v>10207</v>
      </c>
      <c r="B990">
        <v>27</v>
      </c>
      <c r="C990">
        <v>60.06</v>
      </c>
      <c r="D990">
        <v>9</v>
      </c>
      <c r="E990" s="1">
        <v>37876</v>
      </c>
      <c r="F990" t="s">
        <v>0</v>
      </c>
      <c r="G990">
        <v>4</v>
      </c>
      <c r="H990">
        <v>2003</v>
      </c>
      <c r="I990" t="s">
        <v>38</v>
      </c>
      <c r="J990" t="s">
        <v>113</v>
      </c>
      <c r="K990" t="s">
        <v>277</v>
      </c>
      <c r="L990" t="s">
        <v>278</v>
      </c>
      <c r="M990" t="s">
        <v>265</v>
      </c>
      <c r="N990" t="s">
        <v>181</v>
      </c>
      <c r="O990" t="s">
        <v>266</v>
      </c>
      <c r="P990" t="s">
        <v>5</v>
      </c>
      <c r="Q990" t="s">
        <v>6</v>
      </c>
      <c r="R990" t="s">
        <v>364</v>
      </c>
      <c r="S990" t="s">
        <v>7</v>
      </c>
      <c r="T990" t="s">
        <v>336</v>
      </c>
      <c r="U990">
        <f>Sales_Order[[#This Row],[Quantity ordered]]*Sales_Order[[#This Row],[Price each]]</f>
        <v>1621.6200000000001</v>
      </c>
    </row>
    <row r="991" spans="1:21" x14ac:dyDescent="0.3">
      <c r="A991">
        <v>10219</v>
      </c>
      <c r="B991">
        <v>35</v>
      </c>
      <c r="C991">
        <v>55.19</v>
      </c>
      <c r="D991">
        <v>4</v>
      </c>
      <c r="E991" s="1">
        <v>38262</v>
      </c>
      <c r="F991" t="s">
        <v>0</v>
      </c>
      <c r="G991">
        <v>1</v>
      </c>
      <c r="H991">
        <v>2004</v>
      </c>
      <c r="I991" t="s">
        <v>38</v>
      </c>
      <c r="J991" t="s">
        <v>113</v>
      </c>
      <c r="K991" t="s">
        <v>286</v>
      </c>
      <c r="L991" t="s">
        <v>287</v>
      </c>
      <c r="M991" t="s">
        <v>288</v>
      </c>
      <c r="N991" t="s">
        <v>161</v>
      </c>
      <c r="O991" t="s">
        <v>166</v>
      </c>
      <c r="P991" t="s">
        <v>5</v>
      </c>
      <c r="Q991" t="s">
        <v>6</v>
      </c>
      <c r="R991" t="s">
        <v>369</v>
      </c>
      <c r="S991" t="s">
        <v>7</v>
      </c>
      <c r="T991" t="s">
        <v>320</v>
      </c>
      <c r="U991">
        <f>Sales_Order[[#This Row],[Quantity ordered]]*Sales_Order[[#This Row],[Price each]]</f>
        <v>1931.6499999999999</v>
      </c>
    </row>
    <row r="992" spans="1:21" x14ac:dyDescent="0.3">
      <c r="A992">
        <v>10229</v>
      </c>
      <c r="B992">
        <v>23</v>
      </c>
      <c r="C992">
        <v>54.11</v>
      </c>
      <c r="D992">
        <v>3</v>
      </c>
      <c r="E992" s="1">
        <v>38294</v>
      </c>
      <c r="F992" t="s">
        <v>0</v>
      </c>
      <c r="G992">
        <v>1</v>
      </c>
      <c r="H992">
        <v>2004</v>
      </c>
      <c r="I992" t="s">
        <v>38</v>
      </c>
      <c r="J992" t="s">
        <v>113</v>
      </c>
      <c r="K992" t="s">
        <v>225</v>
      </c>
      <c r="L992" t="s">
        <v>226</v>
      </c>
      <c r="M992" t="s">
        <v>227</v>
      </c>
      <c r="N992" t="s">
        <v>161</v>
      </c>
      <c r="O992" t="s">
        <v>177</v>
      </c>
      <c r="P992" t="s">
        <v>5</v>
      </c>
      <c r="Q992" t="s">
        <v>6</v>
      </c>
      <c r="R992" t="s">
        <v>349</v>
      </c>
      <c r="S992" t="s">
        <v>7</v>
      </c>
      <c r="T992" t="s">
        <v>338</v>
      </c>
      <c r="U992">
        <f>Sales_Order[[#This Row],[Quantity ordered]]*Sales_Order[[#This Row],[Price each]]</f>
        <v>1244.53</v>
      </c>
    </row>
    <row r="993" spans="1:21" x14ac:dyDescent="0.3">
      <c r="A993">
        <v>10271</v>
      </c>
      <c r="B993">
        <v>35</v>
      </c>
      <c r="C993">
        <v>47.62</v>
      </c>
      <c r="D993">
        <v>7</v>
      </c>
      <c r="E993" s="1">
        <v>38188</v>
      </c>
      <c r="F993" t="s">
        <v>0</v>
      </c>
      <c r="G993">
        <v>3</v>
      </c>
      <c r="H993">
        <v>2004</v>
      </c>
      <c r="I993" t="s">
        <v>38</v>
      </c>
      <c r="J993" t="s">
        <v>113</v>
      </c>
      <c r="K993" t="s">
        <v>225</v>
      </c>
      <c r="L993" t="s">
        <v>226</v>
      </c>
      <c r="M993" t="s">
        <v>227</v>
      </c>
      <c r="N993" t="s">
        <v>161</v>
      </c>
      <c r="O993" t="s">
        <v>177</v>
      </c>
      <c r="P993" t="s">
        <v>5</v>
      </c>
      <c r="Q993" t="s">
        <v>6</v>
      </c>
      <c r="R993" t="s">
        <v>349</v>
      </c>
      <c r="S993" t="s">
        <v>7</v>
      </c>
      <c r="T993" t="s">
        <v>339</v>
      </c>
      <c r="U993">
        <f>Sales_Order[[#This Row],[Quantity ordered]]*Sales_Order[[#This Row],[Price each]]</f>
        <v>1666.6999999999998</v>
      </c>
    </row>
    <row r="994" spans="1:21" x14ac:dyDescent="0.3">
      <c r="A994">
        <v>10281</v>
      </c>
      <c r="B994">
        <v>31</v>
      </c>
      <c r="C994">
        <v>55.19</v>
      </c>
      <c r="D994">
        <v>3</v>
      </c>
      <c r="E994" s="1">
        <v>38218</v>
      </c>
      <c r="F994" t="s">
        <v>0</v>
      </c>
      <c r="G994">
        <v>3</v>
      </c>
      <c r="H994">
        <v>2004</v>
      </c>
      <c r="I994" t="s">
        <v>38</v>
      </c>
      <c r="J994" t="s">
        <v>113</v>
      </c>
      <c r="K994" t="s">
        <v>183</v>
      </c>
      <c r="L994" t="s">
        <v>184</v>
      </c>
      <c r="M994" t="s">
        <v>185</v>
      </c>
      <c r="N994" t="s">
        <v>186</v>
      </c>
      <c r="O994" t="s">
        <v>187</v>
      </c>
      <c r="P994" t="s">
        <v>5</v>
      </c>
      <c r="Q994" t="s">
        <v>6</v>
      </c>
      <c r="R994" t="s">
        <v>333</v>
      </c>
      <c r="S994" t="s">
        <v>7</v>
      </c>
      <c r="T994" t="s">
        <v>322</v>
      </c>
      <c r="U994">
        <f>Sales_Order[[#This Row],[Quantity ordered]]*Sales_Order[[#This Row],[Price each]]</f>
        <v>1710.8899999999999</v>
      </c>
    </row>
    <row r="995" spans="1:21" x14ac:dyDescent="0.3">
      <c r="A995">
        <v>10292</v>
      </c>
      <c r="B995">
        <v>50</v>
      </c>
      <c r="C995">
        <v>46.53</v>
      </c>
      <c r="D995">
        <v>10</v>
      </c>
      <c r="E995" s="1">
        <v>38208</v>
      </c>
      <c r="F995" t="s">
        <v>0</v>
      </c>
      <c r="G995">
        <v>3</v>
      </c>
      <c r="H995">
        <v>2004</v>
      </c>
      <c r="I995" t="s">
        <v>38</v>
      </c>
      <c r="J995" t="s">
        <v>113</v>
      </c>
      <c r="K995" t="s">
        <v>155</v>
      </c>
      <c r="L995" t="s">
        <v>156</v>
      </c>
      <c r="M995" t="s">
        <v>3</v>
      </c>
      <c r="N995" t="s">
        <v>4</v>
      </c>
      <c r="O995" t="s">
        <v>135</v>
      </c>
      <c r="P995" t="s">
        <v>5</v>
      </c>
      <c r="Q995" t="s">
        <v>6</v>
      </c>
      <c r="R995" t="s">
        <v>319</v>
      </c>
      <c r="S995" t="s">
        <v>7</v>
      </c>
      <c r="T995" t="s">
        <v>361</v>
      </c>
      <c r="U995">
        <f>Sales_Order[[#This Row],[Quantity ordered]]*Sales_Order[[#This Row],[Price each]]</f>
        <v>2326.5</v>
      </c>
    </row>
    <row r="996" spans="1:21" x14ac:dyDescent="0.3">
      <c r="A996">
        <v>10305</v>
      </c>
      <c r="B996">
        <v>40</v>
      </c>
      <c r="C996">
        <v>57.9</v>
      </c>
      <c r="D996">
        <v>7</v>
      </c>
      <c r="E996" s="1">
        <v>38273</v>
      </c>
      <c r="F996" t="s">
        <v>0</v>
      </c>
      <c r="G996">
        <v>4</v>
      </c>
      <c r="H996">
        <v>2004</v>
      </c>
      <c r="I996" t="s">
        <v>38</v>
      </c>
      <c r="J996" t="s">
        <v>113</v>
      </c>
      <c r="K996" t="s">
        <v>178</v>
      </c>
      <c r="L996" t="s">
        <v>179</v>
      </c>
      <c r="M996" t="s">
        <v>180</v>
      </c>
      <c r="N996" t="s">
        <v>181</v>
      </c>
      <c r="O996" t="s">
        <v>182</v>
      </c>
      <c r="P996" t="s">
        <v>5</v>
      </c>
      <c r="Q996" t="s">
        <v>6</v>
      </c>
      <c r="R996" t="s">
        <v>332</v>
      </c>
      <c r="S996" t="s">
        <v>7</v>
      </c>
      <c r="T996" t="s">
        <v>324</v>
      </c>
      <c r="U996">
        <f>Sales_Order[[#This Row],[Quantity ordered]]*Sales_Order[[#This Row],[Price each]]</f>
        <v>2316</v>
      </c>
    </row>
    <row r="997" spans="1:21" x14ac:dyDescent="0.3">
      <c r="A997">
        <v>10313</v>
      </c>
      <c r="B997">
        <v>38</v>
      </c>
      <c r="C997">
        <v>45.45</v>
      </c>
      <c r="D997">
        <v>1</v>
      </c>
      <c r="E997" s="1">
        <v>38282</v>
      </c>
      <c r="F997" t="s">
        <v>0</v>
      </c>
      <c r="G997">
        <v>4</v>
      </c>
      <c r="H997">
        <v>2004</v>
      </c>
      <c r="I997" t="s">
        <v>38</v>
      </c>
      <c r="J997" t="s">
        <v>113</v>
      </c>
      <c r="K997" t="s">
        <v>205</v>
      </c>
      <c r="L997" t="s">
        <v>206</v>
      </c>
      <c r="M997" t="s">
        <v>207</v>
      </c>
      <c r="N997" t="s">
        <v>208</v>
      </c>
      <c r="O997" t="s">
        <v>209</v>
      </c>
      <c r="P997" t="s">
        <v>210</v>
      </c>
      <c r="Q997" t="s">
        <v>6</v>
      </c>
      <c r="R997" t="s">
        <v>343</v>
      </c>
      <c r="S997" t="s">
        <v>7</v>
      </c>
      <c r="T997" t="s">
        <v>324</v>
      </c>
      <c r="U997">
        <f>Sales_Order[[#This Row],[Quantity ordered]]*Sales_Order[[#This Row],[Price each]]</f>
        <v>1727.1000000000001</v>
      </c>
    </row>
    <row r="998" spans="1:21" x14ac:dyDescent="0.3">
      <c r="A998">
        <v>10335</v>
      </c>
      <c r="B998">
        <v>40</v>
      </c>
      <c r="C998">
        <v>60.6</v>
      </c>
      <c r="D998">
        <v>3</v>
      </c>
      <c r="E998" s="1">
        <v>38310</v>
      </c>
      <c r="F998" t="s">
        <v>0</v>
      </c>
      <c r="G998">
        <v>4</v>
      </c>
      <c r="H998">
        <v>2004</v>
      </c>
      <c r="I998" t="s">
        <v>38</v>
      </c>
      <c r="J998" t="s">
        <v>113</v>
      </c>
      <c r="K998" t="s">
        <v>225</v>
      </c>
      <c r="L998" t="s">
        <v>226</v>
      </c>
      <c r="M998" t="s">
        <v>227</v>
      </c>
      <c r="N998" t="s">
        <v>161</v>
      </c>
      <c r="O998" t="s">
        <v>177</v>
      </c>
      <c r="P998" t="s">
        <v>5</v>
      </c>
      <c r="Q998" t="s">
        <v>6</v>
      </c>
      <c r="R998" t="s">
        <v>349</v>
      </c>
      <c r="S998" t="s">
        <v>7</v>
      </c>
      <c r="T998" t="s">
        <v>334</v>
      </c>
      <c r="U998">
        <f>Sales_Order[[#This Row],[Quantity ordered]]*Sales_Order[[#This Row],[Price each]]</f>
        <v>2424</v>
      </c>
    </row>
    <row r="999" spans="1:21" x14ac:dyDescent="0.3">
      <c r="A999">
        <v>10349</v>
      </c>
      <c r="B999">
        <v>33</v>
      </c>
      <c r="C999">
        <v>46.53</v>
      </c>
      <c r="D999">
        <v>1</v>
      </c>
      <c r="E999" s="1">
        <v>37998</v>
      </c>
      <c r="F999" t="s">
        <v>0</v>
      </c>
      <c r="G999">
        <v>4</v>
      </c>
      <c r="H999">
        <v>2004</v>
      </c>
      <c r="I999" t="s">
        <v>38</v>
      </c>
      <c r="J999" t="s">
        <v>113</v>
      </c>
      <c r="K999" t="s">
        <v>36</v>
      </c>
      <c r="L999" t="s">
        <v>37</v>
      </c>
      <c r="M999" t="s">
        <v>3</v>
      </c>
      <c r="N999" t="s">
        <v>4</v>
      </c>
      <c r="O999" t="s">
        <v>135</v>
      </c>
      <c r="P999" t="s">
        <v>5</v>
      </c>
      <c r="Q999" t="s">
        <v>6</v>
      </c>
      <c r="R999" t="s">
        <v>366</v>
      </c>
      <c r="S999" t="s">
        <v>7</v>
      </c>
      <c r="T999" t="s">
        <v>336</v>
      </c>
      <c r="U999">
        <f>Sales_Order[[#This Row],[Quantity ordered]]*Sales_Order[[#This Row],[Price each]]</f>
        <v>1535.49</v>
      </c>
    </row>
    <row r="1000" spans="1:21" x14ac:dyDescent="0.3">
      <c r="A1000">
        <v>10371</v>
      </c>
      <c r="B1000">
        <v>20</v>
      </c>
      <c r="C1000">
        <v>66.47</v>
      </c>
      <c r="D1000">
        <v>2</v>
      </c>
      <c r="E1000" s="1">
        <v>38375</v>
      </c>
      <c r="F1000" t="s">
        <v>0</v>
      </c>
      <c r="G1000">
        <v>1</v>
      </c>
      <c r="H1000">
        <v>2005</v>
      </c>
      <c r="I1000" t="s">
        <v>38</v>
      </c>
      <c r="J1000" t="s">
        <v>113</v>
      </c>
      <c r="K1000" t="s">
        <v>225</v>
      </c>
      <c r="L1000" t="s">
        <v>226</v>
      </c>
      <c r="M1000" t="s">
        <v>227</v>
      </c>
      <c r="N1000" t="s">
        <v>161</v>
      </c>
      <c r="O1000" t="s">
        <v>177</v>
      </c>
      <c r="P1000" t="s">
        <v>5</v>
      </c>
      <c r="Q1000" t="s">
        <v>6</v>
      </c>
      <c r="R1000" t="s">
        <v>349</v>
      </c>
      <c r="S1000" t="s">
        <v>7</v>
      </c>
      <c r="T1000" t="s">
        <v>345</v>
      </c>
      <c r="U1000">
        <f>Sales_Order[[#This Row],[Quantity ordered]]*Sales_Order[[#This Row],[Price each]]</f>
        <v>1329.4</v>
      </c>
    </row>
    <row r="1001" spans="1:21" x14ac:dyDescent="0.3">
      <c r="A1001">
        <v>10127</v>
      </c>
      <c r="B1001">
        <v>29</v>
      </c>
      <c r="C1001">
        <v>70.84</v>
      </c>
      <c r="D1001">
        <v>6</v>
      </c>
      <c r="E1001" s="1">
        <v>37686</v>
      </c>
      <c r="F1001" t="s">
        <v>0</v>
      </c>
      <c r="G1001">
        <v>2</v>
      </c>
      <c r="H1001">
        <v>2003</v>
      </c>
      <c r="I1001" t="s">
        <v>71</v>
      </c>
      <c r="J1001" t="s">
        <v>114</v>
      </c>
      <c r="K1001" t="s">
        <v>36</v>
      </c>
      <c r="L1001" t="s">
        <v>37</v>
      </c>
      <c r="M1001" t="s">
        <v>3</v>
      </c>
      <c r="N1001" t="s">
        <v>4</v>
      </c>
      <c r="O1001" t="s">
        <v>135</v>
      </c>
      <c r="P1001" t="s">
        <v>5</v>
      </c>
      <c r="Q1001" t="s">
        <v>6</v>
      </c>
      <c r="R1001" t="s">
        <v>366</v>
      </c>
      <c r="S1001" t="s">
        <v>7</v>
      </c>
      <c r="T1001" t="s">
        <v>331</v>
      </c>
      <c r="U1001">
        <f>Sales_Order[[#This Row],[Quantity ordered]]*Sales_Order[[#This Row],[Price each]]</f>
        <v>2054.36</v>
      </c>
    </row>
    <row r="1002" spans="1:21" x14ac:dyDescent="0.3">
      <c r="A1002">
        <v>10142</v>
      </c>
      <c r="B1002">
        <v>42</v>
      </c>
      <c r="C1002">
        <v>74.569999999999993</v>
      </c>
      <c r="D1002">
        <v>16</v>
      </c>
      <c r="E1002" s="1">
        <v>37841</v>
      </c>
      <c r="F1002" t="s">
        <v>0</v>
      </c>
      <c r="G1002">
        <v>3</v>
      </c>
      <c r="H1002">
        <v>2003</v>
      </c>
      <c r="I1002" t="s">
        <v>71</v>
      </c>
      <c r="J1002" t="s">
        <v>114</v>
      </c>
      <c r="K1002" t="s">
        <v>225</v>
      </c>
      <c r="L1002" t="s">
        <v>226</v>
      </c>
      <c r="M1002" t="s">
        <v>227</v>
      </c>
      <c r="N1002" t="s">
        <v>161</v>
      </c>
      <c r="O1002" t="s">
        <v>177</v>
      </c>
      <c r="P1002" t="s">
        <v>5</v>
      </c>
      <c r="Q1002" t="s">
        <v>6</v>
      </c>
      <c r="R1002" t="s">
        <v>349</v>
      </c>
      <c r="S1002" t="s">
        <v>8</v>
      </c>
      <c r="T1002" t="s">
        <v>322</v>
      </c>
      <c r="U1002">
        <f>Sales_Order[[#This Row],[Quantity ordered]]*Sales_Order[[#This Row],[Price each]]</f>
        <v>3131.9399999999996</v>
      </c>
    </row>
    <row r="1003" spans="1:21" x14ac:dyDescent="0.3">
      <c r="A1003">
        <v>10152</v>
      </c>
      <c r="B1003">
        <v>33</v>
      </c>
      <c r="C1003">
        <v>50.95</v>
      </c>
      <c r="D1003">
        <v>2</v>
      </c>
      <c r="E1003" s="1">
        <v>37889</v>
      </c>
      <c r="F1003" t="s">
        <v>0</v>
      </c>
      <c r="G1003">
        <v>3</v>
      </c>
      <c r="H1003">
        <v>2003</v>
      </c>
      <c r="I1003" t="s">
        <v>71</v>
      </c>
      <c r="J1003" t="s">
        <v>114</v>
      </c>
      <c r="K1003" t="s">
        <v>196</v>
      </c>
      <c r="L1003" t="s">
        <v>197</v>
      </c>
      <c r="M1003" t="s">
        <v>198</v>
      </c>
      <c r="N1003" t="s">
        <v>199</v>
      </c>
      <c r="O1003" t="s">
        <v>200</v>
      </c>
      <c r="P1003" t="s">
        <v>13</v>
      </c>
      <c r="Q1003" t="s">
        <v>14</v>
      </c>
      <c r="R1003" t="s">
        <v>341</v>
      </c>
      <c r="S1003" t="s">
        <v>7</v>
      </c>
      <c r="T1003" t="s">
        <v>361</v>
      </c>
      <c r="U1003">
        <f>Sales_Order[[#This Row],[Quantity ordered]]*Sales_Order[[#This Row],[Price each]]</f>
        <v>1681.3500000000001</v>
      </c>
    </row>
    <row r="1004" spans="1:21" x14ac:dyDescent="0.3">
      <c r="A1004">
        <v>10195</v>
      </c>
      <c r="B1004">
        <v>33</v>
      </c>
      <c r="C1004">
        <v>54.68</v>
      </c>
      <c r="D1004">
        <v>1</v>
      </c>
      <c r="E1004" s="1">
        <v>37950</v>
      </c>
      <c r="F1004" t="s">
        <v>0</v>
      </c>
      <c r="G1004">
        <v>4</v>
      </c>
      <c r="H1004">
        <v>2003</v>
      </c>
      <c r="I1004" t="s">
        <v>71</v>
      </c>
      <c r="J1004" t="s">
        <v>114</v>
      </c>
      <c r="K1004" t="s">
        <v>248</v>
      </c>
      <c r="L1004" t="s">
        <v>249</v>
      </c>
      <c r="M1004" t="s">
        <v>250</v>
      </c>
      <c r="N1004" t="s">
        <v>4</v>
      </c>
      <c r="O1004" t="s">
        <v>251</v>
      </c>
      <c r="P1004" t="s">
        <v>5</v>
      </c>
      <c r="Q1004" t="s">
        <v>6</v>
      </c>
      <c r="R1004" t="s">
        <v>356</v>
      </c>
      <c r="S1004" t="s">
        <v>7</v>
      </c>
      <c r="T1004" t="s">
        <v>334</v>
      </c>
      <c r="U1004">
        <f>Sales_Order[[#This Row],[Quantity ordered]]*Sales_Order[[#This Row],[Price each]]</f>
        <v>1804.44</v>
      </c>
    </row>
    <row r="1005" spans="1:21" x14ac:dyDescent="0.3">
      <c r="A1005">
        <v>10207</v>
      </c>
      <c r="B1005">
        <v>45</v>
      </c>
      <c r="C1005">
        <v>56.55</v>
      </c>
      <c r="D1005">
        <v>2</v>
      </c>
      <c r="E1005" s="1">
        <v>37876</v>
      </c>
      <c r="F1005" t="s">
        <v>0</v>
      </c>
      <c r="G1005">
        <v>4</v>
      </c>
      <c r="H1005">
        <v>2003</v>
      </c>
      <c r="I1005" t="s">
        <v>71</v>
      </c>
      <c r="J1005" t="s">
        <v>114</v>
      </c>
      <c r="K1005" t="s">
        <v>277</v>
      </c>
      <c r="L1005" t="s">
        <v>278</v>
      </c>
      <c r="M1005" t="s">
        <v>265</v>
      </c>
      <c r="N1005" t="s">
        <v>181</v>
      </c>
      <c r="O1005" t="s">
        <v>266</v>
      </c>
      <c r="P1005" t="s">
        <v>5</v>
      </c>
      <c r="Q1005" t="s">
        <v>6</v>
      </c>
      <c r="R1005" t="s">
        <v>364</v>
      </c>
      <c r="S1005" t="s">
        <v>7</v>
      </c>
      <c r="T1005" t="s">
        <v>336</v>
      </c>
      <c r="U1005">
        <f>Sales_Order[[#This Row],[Quantity ordered]]*Sales_Order[[#This Row],[Price each]]</f>
        <v>2544.75</v>
      </c>
    </row>
    <row r="1006" spans="1:21" x14ac:dyDescent="0.3">
      <c r="A1006">
        <v>10272</v>
      </c>
      <c r="B1006">
        <v>45</v>
      </c>
      <c r="C1006">
        <v>64.63</v>
      </c>
      <c r="D1006">
        <v>6</v>
      </c>
      <c r="E1006" s="1">
        <v>38188</v>
      </c>
      <c r="F1006" t="s">
        <v>0</v>
      </c>
      <c r="G1006">
        <v>3</v>
      </c>
      <c r="H1006">
        <v>2004</v>
      </c>
      <c r="I1006" t="s">
        <v>71</v>
      </c>
      <c r="J1006" t="s">
        <v>114</v>
      </c>
      <c r="K1006" t="s">
        <v>183</v>
      </c>
      <c r="L1006" t="s">
        <v>184</v>
      </c>
      <c r="M1006" t="s">
        <v>185</v>
      </c>
      <c r="N1006" t="s">
        <v>186</v>
      </c>
      <c r="O1006" t="s">
        <v>187</v>
      </c>
      <c r="P1006" t="s">
        <v>5</v>
      </c>
      <c r="Q1006" t="s">
        <v>6</v>
      </c>
      <c r="R1006" t="s">
        <v>333</v>
      </c>
      <c r="S1006" t="s">
        <v>7</v>
      </c>
      <c r="T1006" t="s">
        <v>339</v>
      </c>
      <c r="U1006">
        <f>Sales_Order[[#This Row],[Quantity ordered]]*Sales_Order[[#This Row],[Price each]]</f>
        <v>2908.35</v>
      </c>
    </row>
    <row r="1007" spans="1:21" x14ac:dyDescent="0.3">
      <c r="A1007">
        <v>10282</v>
      </c>
      <c r="B1007">
        <v>36</v>
      </c>
      <c r="C1007">
        <v>59.65</v>
      </c>
      <c r="D1007">
        <v>9</v>
      </c>
      <c r="E1007" s="1">
        <v>38219</v>
      </c>
      <c r="F1007" t="s">
        <v>0</v>
      </c>
      <c r="G1007">
        <v>3</v>
      </c>
      <c r="H1007">
        <v>2004</v>
      </c>
      <c r="I1007" t="s">
        <v>71</v>
      </c>
      <c r="J1007" t="s">
        <v>114</v>
      </c>
      <c r="K1007" t="s">
        <v>225</v>
      </c>
      <c r="L1007" t="s">
        <v>226</v>
      </c>
      <c r="M1007" t="s">
        <v>227</v>
      </c>
      <c r="N1007" t="s">
        <v>161</v>
      </c>
      <c r="O1007" t="s">
        <v>177</v>
      </c>
      <c r="P1007" t="s">
        <v>5</v>
      </c>
      <c r="Q1007" t="s">
        <v>6</v>
      </c>
      <c r="R1007" t="s">
        <v>349</v>
      </c>
      <c r="S1007" t="s">
        <v>7</v>
      </c>
      <c r="T1007" t="s">
        <v>322</v>
      </c>
      <c r="U1007">
        <f>Sales_Order[[#This Row],[Quantity ordered]]*Sales_Order[[#This Row],[Price each]]</f>
        <v>2147.4</v>
      </c>
    </row>
    <row r="1008" spans="1:21" x14ac:dyDescent="0.3">
      <c r="A1008">
        <v>10292</v>
      </c>
      <c r="B1008">
        <v>31</v>
      </c>
      <c r="C1008">
        <v>67.73</v>
      </c>
      <c r="D1008">
        <v>3</v>
      </c>
      <c r="E1008" s="1">
        <v>38208</v>
      </c>
      <c r="F1008" t="s">
        <v>0</v>
      </c>
      <c r="G1008">
        <v>3</v>
      </c>
      <c r="H1008">
        <v>2004</v>
      </c>
      <c r="I1008" t="s">
        <v>71</v>
      </c>
      <c r="J1008" t="s">
        <v>114</v>
      </c>
      <c r="K1008" t="s">
        <v>155</v>
      </c>
      <c r="L1008" t="s">
        <v>156</v>
      </c>
      <c r="M1008" t="s">
        <v>3</v>
      </c>
      <c r="N1008" t="s">
        <v>4</v>
      </c>
      <c r="O1008" t="s">
        <v>135</v>
      </c>
      <c r="P1008" t="s">
        <v>5</v>
      </c>
      <c r="Q1008" t="s">
        <v>6</v>
      </c>
      <c r="R1008" t="s">
        <v>319</v>
      </c>
      <c r="S1008" t="s">
        <v>7</v>
      </c>
      <c r="T1008" t="s">
        <v>361</v>
      </c>
      <c r="U1008">
        <f>Sales_Order[[#This Row],[Quantity ordered]]*Sales_Order[[#This Row],[Price each]]</f>
        <v>2099.63</v>
      </c>
    </row>
    <row r="1009" spans="1:21" x14ac:dyDescent="0.3">
      <c r="A1009">
        <v>10371</v>
      </c>
      <c r="B1009">
        <v>30</v>
      </c>
      <c r="C1009">
        <v>99.55</v>
      </c>
      <c r="D1009">
        <v>11</v>
      </c>
      <c r="E1009" s="1">
        <v>38375</v>
      </c>
      <c r="F1009" t="s">
        <v>0</v>
      </c>
      <c r="G1009">
        <v>1</v>
      </c>
      <c r="H1009">
        <v>2005</v>
      </c>
      <c r="I1009" t="s">
        <v>71</v>
      </c>
      <c r="J1009" t="s">
        <v>114</v>
      </c>
      <c r="K1009" t="s">
        <v>225</v>
      </c>
      <c r="L1009" t="s">
        <v>226</v>
      </c>
      <c r="M1009" t="s">
        <v>227</v>
      </c>
      <c r="N1009" t="s">
        <v>161</v>
      </c>
      <c r="O1009" t="s">
        <v>177</v>
      </c>
      <c r="P1009" t="s">
        <v>5</v>
      </c>
      <c r="Q1009" t="s">
        <v>6</v>
      </c>
      <c r="R1009" t="s">
        <v>349</v>
      </c>
      <c r="S1009" t="s">
        <v>7</v>
      </c>
      <c r="T1009" t="s">
        <v>345</v>
      </c>
      <c r="U1009">
        <f>Sales_Order[[#This Row],[Quantity ordered]]*Sales_Order[[#This Row],[Price each]]</f>
        <v>2986.5</v>
      </c>
    </row>
    <row r="1010" spans="1:21" x14ac:dyDescent="0.3">
      <c r="A1010">
        <v>10413</v>
      </c>
      <c r="B1010">
        <v>24</v>
      </c>
      <c r="C1010">
        <v>49.71</v>
      </c>
      <c r="D1010">
        <v>6</v>
      </c>
      <c r="E1010" s="1">
        <v>38477</v>
      </c>
      <c r="F1010" t="s">
        <v>0</v>
      </c>
      <c r="G1010">
        <v>2</v>
      </c>
      <c r="H1010">
        <v>2005</v>
      </c>
      <c r="I1010" t="s">
        <v>71</v>
      </c>
      <c r="J1010" t="s">
        <v>114</v>
      </c>
      <c r="K1010" t="s">
        <v>173</v>
      </c>
      <c r="L1010" t="s">
        <v>174</v>
      </c>
      <c r="M1010" t="s">
        <v>175</v>
      </c>
      <c r="N1010" t="s">
        <v>176</v>
      </c>
      <c r="O1010" t="s">
        <v>177</v>
      </c>
      <c r="P1010" t="s">
        <v>5</v>
      </c>
      <c r="Q1010" t="s">
        <v>6</v>
      </c>
      <c r="R1010" t="s">
        <v>330</v>
      </c>
      <c r="S1010" t="s">
        <v>7</v>
      </c>
      <c r="T1010" t="s">
        <v>329</v>
      </c>
      <c r="U1010">
        <f>Sales_Order[[#This Row],[Quantity ordered]]*Sales_Order[[#This Row],[Price each]]</f>
        <v>1193.04</v>
      </c>
    </row>
    <row r="1011" spans="1:21" x14ac:dyDescent="0.3">
      <c r="A1011">
        <v>10113</v>
      </c>
      <c r="B1011">
        <v>23</v>
      </c>
      <c r="C1011">
        <v>68.52</v>
      </c>
      <c r="D1011">
        <v>1</v>
      </c>
      <c r="E1011" s="1">
        <v>37706</v>
      </c>
      <c r="F1011" t="s">
        <v>0</v>
      </c>
      <c r="G1011">
        <v>1</v>
      </c>
      <c r="H1011">
        <v>2003</v>
      </c>
      <c r="I1011" t="s">
        <v>38</v>
      </c>
      <c r="J1011" t="s">
        <v>115</v>
      </c>
      <c r="K1011" t="s">
        <v>225</v>
      </c>
      <c r="L1011" t="s">
        <v>226</v>
      </c>
      <c r="M1011" t="s">
        <v>227</v>
      </c>
      <c r="N1011" t="s">
        <v>161</v>
      </c>
      <c r="O1011" t="s">
        <v>177</v>
      </c>
      <c r="P1011" t="s">
        <v>5</v>
      </c>
      <c r="Q1011" t="s">
        <v>6</v>
      </c>
      <c r="R1011" t="s">
        <v>349</v>
      </c>
      <c r="S1011" t="s">
        <v>7</v>
      </c>
      <c r="T1011" t="s">
        <v>338</v>
      </c>
      <c r="U1011">
        <f>Sales_Order[[#This Row],[Quantity ordered]]*Sales_Order[[#This Row],[Price each]]</f>
        <v>1575.9599999999998</v>
      </c>
    </row>
    <row r="1012" spans="1:21" x14ac:dyDescent="0.3">
      <c r="A1012">
        <v>10140</v>
      </c>
      <c r="B1012">
        <v>28</v>
      </c>
      <c r="C1012">
        <v>60.76</v>
      </c>
      <c r="D1012">
        <v>7</v>
      </c>
      <c r="E1012" s="1">
        <v>37826</v>
      </c>
      <c r="F1012" t="s">
        <v>0</v>
      </c>
      <c r="G1012">
        <v>3</v>
      </c>
      <c r="H1012">
        <v>2003</v>
      </c>
      <c r="I1012" t="s">
        <v>38</v>
      </c>
      <c r="J1012" t="s">
        <v>115</v>
      </c>
      <c r="K1012" t="s">
        <v>163</v>
      </c>
      <c r="L1012" t="s">
        <v>164</v>
      </c>
      <c r="M1012" t="s">
        <v>165</v>
      </c>
      <c r="N1012" t="s">
        <v>161</v>
      </c>
      <c r="O1012" t="s">
        <v>166</v>
      </c>
      <c r="P1012" t="s">
        <v>5</v>
      </c>
      <c r="Q1012" t="s">
        <v>6</v>
      </c>
      <c r="R1012" t="s">
        <v>323</v>
      </c>
      <c r="S1012" t="s">
        <v>7</v>
      </c>
      <c r="T1012" t="s">
        <v>339</v>
      </c>
      <c r="U1012">
        <f>Sales_Order[[#This Row],[Quantity ordered]]*Sales_Order[[#This Row],[Price each]]</f>
        <v>1701.28</v>
      </c>
    </row>
    <row r="1013" spans="1:21" x14ac:dyDescent="0.3">
      <c r="A1013">
        <v>10183</v>
      </c>
      <c r="B1013">
        <v>49</v>
      </c>
      <c r="C1013">
        <v>64.64</v>
      </c>
      <c r="D1013">
        <v>4</v>
      </c>
      <c r="E1013" s="1">
        <v>37938</v>
      </c>
      <c r="F1013" t="s">
        <v>0</v>
      </c>
      <c r="G1013">
        <v>4</v>
      </c>
      <c r="H1013">
        <v>2003</v>
      </c>
      <c r="I1013" t="s">
        <v>38</v>
      </c>
      <c r="J1013" t="s">
        <v>115</v>
      </c>
      <c r="K1013" t="s">
        <v>201</v>
      </c>
      <c r="L1013" t="s">
        <v>202</v>
      </c>
      <c r="M1013" t="s">
        <v>203</v>
      </c>
      <c r="N1013" t="s">
        <v>186</v>
      </c>
      <c r="O1013" t="s">
        <v>204</v>
      </c>
      <c r="P1013" t="s">
        <v>5</v>
      </c>
      <c r="Q1013" t="s">
        <v>6</v>
      </c>
      <c r="R1013" t="s">
        <v>342</v>
      </c>
      <c r="S1013" t="s">
        <v>8</v>
      </c>
      <c r="T1013" t="s">
        <v>334</v>
      </c>
      <c r="U1013">
        <f>Sales_Order[[#This Row],[Quantity ordered]]*Sales_Order[[#This Row],[Price each]]</f>
        <v>3167.36</v>
      </c>
    </row>
    <row r="1014" spans="1:21" x14ac:dyDescent="0.3">
      <c r="A1014">
        <v>10206</v>
      </c>
      <c r="B1014">
        <v>36</v>
      </c>
      <c r="C1014">
        <v>58.82</v>
      </c>
      <c r="D1014">
        <v>2</v>
      </c>
      <c r="E1014" s="1">
        <v>37753</v>
      </c>
      <c r="F1014" t="s">
        <v>0</v>
      </c>
      <c r="G1014">
        <v>4</v>
      </c>
      <c r="H1014">
        <v>2003</v>
      </c>
      <c r="I1014" t="s">
        <v>38</v>
      </c>
      <c r="J1014" t="s">
        <v>115</v>
      </c>
      <c r="K1014" t="s">
        <v>205</v>
      </c>
      <c r="L1014" t="s">
        <v>206</v>
      </c>
      <c r="M1014" t="s">
        <v>207</v>
      </c>
      <c r="N1014" t="s">
        <v>208</v>
      </c>
      <c r="O1014" t="s">
        <v>209</v>
      </c>
      <c r="P1014" t="s">
        <v>210</v>
      </c>
      <c r="Q1014" t="s">
        <v>6</v>
      </c>
      <c r="R1014" t="s">
        <v>343</v>
      </c>
      <c r="S1014" t="s">
        <v>7</v>
      </c>
      <c r="T1014" t="s">
        <v>336</v>
      </c>
      <c r="U1014">
        <f>Sales_Order[[#This Row],[Quantity ordered]]*Sales_Order[[#This Row],[Price each]]</f>
        <v>2117.52</v>
      </c>
    </row>
    <row r="1015" spans="1:21" x14ac:dyDescent="0.3">
      <c r="A1015">
        <v>10229</v>
      </c>
      <c r="B1015">
        <v>30</v>
      </c>
      <c r="C1015">
        <v>73.040000000000006</v>
      </c>
      <c r="D1015">
        <v>12</v>
      </c>
      <c r="E1015" s="1">
        <v>38294</v>
      </c>
      <c r="F1015" t="s">
        <v>0</v>
      </c>
      <c r="G1015">
        <v>1</v>
      </c>
      <c r="H1015">
        <v>2004</v>
      </c>
      <c r="I1015" t="s">
        <v>38</v>
      </c>
      <c r="J1015" t="s">
        <v>115</v>
      </c>
      <c r="K1015" t="s">
        <v>225</v>
      </c>
      <c r="L1015" t="s">
        <v>226</v>
      </c>
      <c r="M1015" t="s">
        <v>227</v>
      </c>
      <c r="N1015" t="s">
        <v>161</v>
      </c>
      <c r="O1015" t="s">
        <v>177</v>
      </c>
      <c r="P1015" t="s">
        <v>5</v>
      </c>
      <c r="Q1015" t="s">
        <v>6</v>
      </c>
      <c r="R1015" t="s">
        <v>349</v>
      </c>
      <c r="S1015" t="s">
        <v>7</v>
      </c>
      <c r="T1015" t="s">
        <v>338</v>
      </c>
      <c r="U1015">
        <f>Sales_Order[[#This Row],[Quantity ordered]]*Sales_Order[[#This Row],[Price each]]</f>
        <v>2191.2000000000003</v>
      </c>
    </row>
    <row r="1016" spans="1:21" x14ac:dyDescent="0.3">
      <c r="A1016">
        <v>10245</v>
      </c>
      <c r="B1016">
        <v>44</v>
      </c>
      <c r="C1016">
        <v>69.16</v>
      </c>
      <c r="D1016">
        <v>5</v>
      </c>
      <c r="E1016" s="1">
        <v>38082</v>
      </c>
      <c r="F1016" t="s">
        <v>0</v>
      </c>
      <c r="G1016">
        <v>2</v>
      </c>
      <c r="H1016">
        <v>2004</v>
      </c>
      <c r="I1016" t="s">
        <v>38</v>
      </c>
      <c r="J1016" t="s">
        <v>115</v>
      </c>
      <c r="K1016" t="s">
        <v>216</v>
      </c>
      <c r="L1016" t="s">
        <v>217</v>
      </c>
      <c r="M1016" t="s">
        <v>218</v>
      </c>
      <c r="N1016" t="s">
        <v>176</v>
      </c>
      <c r="O1016" t="s">
        <v>219</v>
      </c>
      <c r="P1016" t="s">
        <v>5</v>
      </c>
      <c r="Q1016" t="s">
        <v>6</v>
      </c>
      <c r="R1016" t="s">
        <v>347</v>
      </c>
      <c r="S1016" t="s">
        <v>8</v>
      </c>
      <c r="T1016" t="s">
        <v>329</v>
      </c>
      <c r="U1016">
        <f>Sales_Order[[#This Row],[Quantity ordered]]*Sales_Order[[#This Row],[Price each]]</f>
        <v>3043.04</v>
      </c>
    </row>
    <row r="1017" spans="1:21" x14ac:dyDescent="0.3">
      <c r="A1017">
        <v>10258</v>
      </c>
      <c r="B1017">
        <v>20</v>
      </c>
      <c r="C1017">
        <v>61.41</v>
      </c>
      <c r="D1017">
        <v>2</v>
      </c>
      <c r="E1017" s="1">
        <v>38153</v>
      </c>
      <c r="F1017" t="s">
        <v>0</v>
      </c>
      <c r="G1017">
        <v>2</v>
      </c>
      <c r="H1017">
        <v>2004</v>
      </c>
      <c r="I1017" t="s">
        <v>38</v>
      </c>
      <c r="J1017" t="s">
        <v>115</v>
      </c>
      <c r="K1017" t="s">
        <v>220</v>
      </c>
      <c r="L1017" t="s">
        <v>221</v>
      </c>
      <c r="M1017" t="s">
        <v>222</v>
      </c>
      <c r="N1017" t="s">
        <v>223</v>
      </c>
      <c r="O1017" t="s">
        <v>224</v>
      </c>
      <c r="P1017" t="s">
        <v>195</v>
      </c>
      <c r="Q1017" t="s">
        <v>195</v>
      </c>
      <c r="R1017" t="s">
        <v>348</v>
      </c>
      <c r="S1017" t="s">
        <v>7</v>
      </c>
      <c r="T1017" t="s">
        <v>331</v>
      </c>
      <c r="U1017">
        <f>Sales_Order[[#This Row],[Quantity ordered]]*Sales_Order[[#This Row],[Price each]]</f>
        <v>1228.1999999999998</v>
      </c>
    </row>
    <row r="1018" spans="1:21" x14ac:dyDescent="0.3">
      <c r="A1018">
        <v>10270</v>
      </c>
      <c r="B1018">
        <v>21</v>
      </c>
      <c r="C1018">
        <v>63.35</v>
      </c>
      <c r="D1018">
        <v>5</v>
      </c>
      <c r="E1018" s="1">
        <v>38187</v>
      </c>
      <c r="F1018" t="s">
        <v>0</v>
      </c>
      <c r="G1018">
        <v>3</v>
      </c>
      <c r="H1018">
        <v>2004</v>
      </c>
      <c r="I1018" t="s">
        <v>38</v>
      </c>
      <c r="J1018" t="s">
        <v>115</v>
      </c>
      <c r="K1018" t="s">
        <v>18</v>
      </c>
      <c r="L1018" t="s">
        <v>19</v>
      </c>
      <c r="M1018" t="s">
        <v>20</v>
      </c>
      <c r="N1018" t="s">
        <v>21</v>
      </c>
      <c r="O1018" t="s">
        <v>136</v>
      </c>
      <c r="P1018" t="s">
        <v>13</v>
      </c>
      <c r="Q1018" t="s">
        <v>14</v>
      </c>
      <c r="R1018" t="s">
        <v>335</v>
      </c>
      <c r="S1018" t="s">
        <v>7</v>
      </c>
      <c r="T1018" t="s">
        <v>339</v>
      </c>
      <c r="U1018">
        <f>Sales_Order[[#This Row],[Quantity ordered]]*Sales_Order[[#This Row],[Price each]]</f>
        <v>1330.3500000000001</v>
      </c>
    </row>
    <row r="1019" spans="1:21" x14ac:dyDescent="0.3">
      <c r="A1019">
        <v>10281</v>
      </c>
      <c r="B1019">
        <v>36</v>
      </c>
      <c r="C1019">
        <v>77.569999999999993</v>
      </c>
      <c r="D1019">
        <v>12</v>
      </c>
      <c r="E1019" s="1">
        <v>38218</v>
      </c>
      <c r="F1019" t="s">
        <v>0</v>
      </c>
      <c r="G1019">
        <v>3</v>
      </c>
      <c r="H1019">
        <v>2004</v>
      </c>
      <c r="I1019" t="s">
        <v>38</v>
      </c>
      <c r="J1019" t="s">
        <v>115</v>
      </c>
      <c r="K1019" t="s">
        <v>183</v>
      </c>
      <c r="L1019" t="s">
        <v>184</v>
      </c>
      <c r="M1019" t="s">
        <v>185</v>
      </c>
      <c r="N1019" t="s">
        <v>186</v>
      </c>
      <c r="O1019" t="s">
        <v>187</v>
      </c>
      <c r="P1019" t="s">
        <v>5</v>
      </c>
      <c r="Q1019" t="s">
        <v>6</v>
      </c>
      <c r="R1019" t="s">
        <v>333</v>
      </c>
      <c r="S1019" t="s">
        <v>7</v>
      </c>
      <c r="T1019" t="s">
        <v>322</v>
      </c>
      <c r="U1019">
        <f>Sales_Order[[#This Row],[Quantity ordered]]*Sales_Order[[#This Row],[Price each]]</f>
        <v>2792.5199999999995</v>
      </c>
    </row>
    <row r="1020" spans="1:21" x14ac:dyDescent="0.3">
      <c r="A1020">
        <v>10313</v>
      </c>
      <c r="B1020">
        <v>34</v>
      </c>
      <c r="C1020">
        <v>56.24</v>
      </c>
      <c r="D1020">
        <v>10</v>
      </c>
      <c r="E1020" s="1">
        <v>38282</v>
      </c>
      <c r="F1020" t="s">
        <v>0</v>
      </c>
      <c r="G1020">
        <v>4</v>
      </c>
      <c r="H1020">
        <v>2004</v>
      </c>
      <c r="I1020" t="s">
        <v>38</v>
      </c>
      <c r="J1020" t="s">
        <v>115</v>
      </c>
      <c r="K1020" t="s">
        <v>205</v>
      </c>
      <c r="L1020" t="s">
        <v>206</v>
      </c>
      <c r="M1020" t="s">
        <v>207</v>
      </c>
      <c r="N1020" t="s">
        <v>208</v>
      </c>
      <c r="O1020" t="s">
        <v>209</v>
      </c>
      <c r="P1020" t="s">
        <v>210</v>
      </c>
      <c r="Q1020" t="s">
        <v>6</v>
      </c>
      <c r="R1020" t="s">
        <v>343</v>
      </c>
      <c r="S1020" t="s">
        <v>7</v>
      </c>
      <c r="T1020" t="s">
        <v>324</v>
      </c>
      <c r="U1020">
        <f>Sales_Order[[#This Row],[Quantity ordered]]*Sales_Order[[#This Row],[Price each]]</f>
        <v>1912.16</v>
      </c>
    </row>
    <row r="1021" spans="1:21" x14ac:dyDescent="0.3">
      <c r="A1021">
        <v>10324</v>
      </c>
      <c r="B1021">
        <v>48</v>
      </c>
      <c r="C1021">
        <v>100</v>
      </c>
      <c r="D1021">
        <v>4</v>
      </c>
      <c r="E1021" s="1">
        <v>38118</v>
      </c>
      <c r="F1021" t="s">
        <v>0</v>
      </c>
      <c r="G1021">
        <v>4</v>
      </c>
      <c r="H1021">
        <v>2004</v>
      </c>
      <c r="I1021" t="s">
        <v>38</v>
      </c>
      <c r="J1021" t="s">
        <v>115</v>
      </c>
      <c r="K1021" t="s">
        <v>15</v>
      </c>
      <c r="L1021" t="s">
        <v>16</v>
      </c>
      <c r="M1021" t="s">
        <v>3</v>
      </c>
      <c r="N1021" t="s">
        <v>4</v>
      </c>
      <c r="O1021" t="s">
        <v>135</v>
      </c>
      <c r="P1021" t="s">
        <v>5</v>
      </c>
      <c r="Q1021" t="s">
        <v>6</v>
      </c>
      <c r="R1021" t="s">
        <v>326</v>
      </c>
      <c r="S1021" t="s">
        <v>17</v>
      </c>
      <c r="T1021" t="s">
        <v>334</v>
      </c>
      <c r="U1021">
        <f>Sales_Order[[#This Row],[Quantity ordered]]*Sales_Order[[#This Row],[Price each]]</f>
        <v>4800</v>
      </c>
    </row>
    <row r="1022" spans="1:21" x14ac:dyDescent="0.3">
      <c r="A1022">
        <v>10370</v>
      </c>
      <c r="B1022">
        <v>25</v>
      </c>
      <c r="C1022">
        <v>100</v>
      </c>
      <c r="D1022">
        <v>3</v>
      </c>
      <c r="E1022" s="1">
        <v>38372</v>
      </c>
      <c r="F1022" t="s">
        <v>0</v>
      </c>
      <c r="G1022">
        <v>1</v>
      </c>
      <c r="H1022">
        <v>2005</v>
      </c>
      <c r="I1022" t="s">
        <v>38</v>
      </c>
      <c r="J1022" t="s">
        <v>115</v>
      </c>
      <c r="K1022" t="s">
        <v>26</v>
      </c>
      <c r="L1022" t="s">
        <v>27</v>
      </c>
      <c r="M1022" t="s">
        <v>28</v>
      </c>
      <c r="N1022" t="s">
        <v>21</v>
      </c>
      <c r="O1022" t="s">
        <v>137</v>
      </c>
      <c r="P1022" t="s">
        <v>13</v>
      </c>
      <c r="Q1022" t="s">
        <v>14</v>
      </c>
      <c r="R1022" t="s">
        <v>352</v>
      </c>
      <c r="S1022" t="s">
        <v>8</v>
      </c>
      <c r="T1022" t="s">
        <v>345</v>
      </c>
      <c r="U1022">
        <f>Sales_Order[[#This Row],[Quantity ordered]]*Sales_Order[[#This Row],[Price each]]</f>
        <v>2500</v>
      </c>
    </row>
    <row r="1023" spans="1:21" x14ac:dyDescent="0.3">
      <c r="A1023">
        <v>10382</v>
      </c>
      <c r="B1023">
        <v>48</v>
      </c>
      <c r="C1023">
        <v>100</v>
      </c>
      <c r="D1023">
        <v>8</v>
      </c>
      <c r="E1023" s="1">
        <v>38400</v>
      </c>
      <c r="F1023" t="s">
        <v>0</v>
      </c>
      <c r="G1023">
        <v>1</v>
      </c>
      <c r="H1023">
        <v>2005</v>
      </c>
      <c r="I1023" t="s">
        <v>38</v>
      </c>
      <c r="J1023" t="s">
        <v>115</v>
      </c>
      <c r="K1023" t="s">
        <v>225</v>
      </c>
      <c r="L1023" t="s">
        <v>226</v>
      </c>
      <c r="M1023" t="s">
        <v>227</v>
      </c>
      <c r="N1023" t="s">
        <v>161</v>
      </c>
      <c r="O1023" t="s">
        <v>177</v>
      </c>
      <c r="P1023" t="s">
        <v>5</v>
      </c>
      <c r="Q1023" t="s">
        <v>6</v>
      </c>
      <c r="R1023" t="s">
        <v>349</v>
      </c>
      <c r="S1023" t="s">
        <v>8</v>
      </c>
      <c r="T1023" t="s">
        <v>320</v>
      </c>
      <c r="U1023">
        <f>Sales_Order[[#This Row],[Quantity ordered]]*Sales_Order[[#This Row],[Price each]]</f>
        <v>4800</v>
      </c>
    </row>
    <row r="1024" spans="1:21" x14ac:dyDescent="0.3">
      <c r="A1024">
        <v>10411</v>
      </c>
      <c r="B1024">
        <v>27</v>
      </c>
      <c r="C1024">
        <v>69.16</v>
      </c>
      <c r="D1024">
        <v>5</v>
      </c>
      <c r="E1024" s="1">
        <v>38357</v>
      </c>
      <c r="F1024" t="s">
        <v>0</v>
      </c>
      <c r="G1024">
        <v>2</v>
      </c>
      <c r="H1024">
        <v>2005</v>
      </c>
      <c r="I1024" t="s">
        <v>38</v>
      </c>
      <c r="J1024" t="s">
        <v>115</v>
      </c>
      <c r="K1024" t="s">
        <v>237</v>
      </c>
      <c r="L1024" t="s">
        <v>238</v>
      </c>
      <c r="M1024" t="s">
        <v>239</v>
      </c>
      <c r="N1024" t="s">
        <v>240</v>
      </c>
      <c r="O1024" t="s">
        <v>241</v>
      </c>
      <c r="P1024" t="s">
        <v>210</v>
      </c>
      <c r="Q1024" t="s">
        <v>6</v>
      </c>
      <c r="R1024" t="s">
        <v>353</v>
      </c>
      <c r="S1024" t="s">
        <v>7</v>
      </c>
      <c r="T1024" t="s">
        <v>329</v>
      </c>
      <c r="U1024">
        <f>Sales_Order[[#This Row],[Quantity ordered]]*Sales_Order[[#This Row],[Price each]]</f>
        <v>1867.32</v>
      </c>
    </row>
    <row r="1025" spans="1:21" x14ac:dyDescent="0.3">
      <c r="A1025">
        <v>10120</v>
      </c>
      <c r="B1025">
        <v>29</v>
      </c>
      <c r="C1025">
        <v>72.23</v>
      </c>
      <c r="D1025">
        <v>11</v>
      </c>
      <c r="E1025" s="1">
        <v>37740</v>
      </c>
      <c r="F1025" t="s">
        <v>0</v>
      </c>
      <c r="G1025">
        <v>2</v>
      </c>
      <c r="H1025">
        <v>2003</v>
      </c>
      <c r="I1025" t="s">
        <v>49</v>
      </c>
      <c r="J1025" t="s">
        <v>116</v>
      </c>
      <c r="K1025" t="s">
        <v>9</v>
      </c>
      <c r="L1025" t="s">
        <v>10</v>
      </c>
      <c r="M1025" t="s">
        <v>11</v>
      </c>
      <c r="N1025" t="s">
        <v>12</v>
      </c>
      <c r="O1025" t="s">
        <v>134</v>
      </c>
      <c r="P1025" t="s">
        <v>13</v>
      </c>
      <c r="Q1025" t="s">
        <v>14</v>
      </c>
      <c r="R1025" t="s">
        <v>325</v>
      </c>
      <c r="S1025" t="s">
        <v>7</v>
      </c>
      <c r="T1025" t="s">
        <v>327</v>
      </c>
      <c r="U1025">
        <f>Sales_Order[[#This Row],[Quantity ordered]]*Sales_Order[[#This Row],[Price each]]</f>
        <v>2094.67</v>
      </c>
    </row>
    <row r="1026" spans="1:21" x14ac:dyDescent="0.3">
      <c r="A1026">
        <v>10168</v>
      </c>
      <c r="B1026">
        <v>31</v>
      </c>
      <c r="C1026">
        <v>73.61</v>
      </c>
      <c r="D1026">
        <v>12</v>
      </c>
      <c r="E1026" s="1">
        <v>37922</v>
      </c>
      <c r="F1026" t="s">
        <v>0</v>
      </c>
      <c r="G1026">
        <v>4</v>
      </c>
      <c r="H1026">
        <v>2003</v>
      </c>
      <c r="I1026" t="s">
        <v>49</v>
      </c>
      <c r="J1026" t="s">
        <v>116</v>
      </c>
      <c r="K1026" t="s">
        <v>163</v>
      </c>
      <c r="L1026" t="s">
        <v>164</v>
      </c>
      <c r="M1026" t="s">
        <v>165</v>
      </c>
      <c r="N1026" t="s">
        <v>161</v>
      </c>
      <c r="O1026" t="s">
        <v>166</v>
      </c>
      <c r="P1026" t="s">
        <v>5</v>
      </c>
      <c r="Q1026" t="s">
        <v>6</v>
      </c>
      <c r="R1026" t="s">
        <v>323</v>
      </c>
      <c r="S1026" t="s">
        <v>7</v>
      </c>
      <c r="T1026" t="s">
        <v>324</v>
      </c>
      <c r="U1026">
        <f>Sales_Order[[#This Row],[Quantity ordered]]*Sales_Order[[#This Row],[Price each]]</f>
        <v>2281.91</v>
      </c>
    </row>
    <row r="1027" spans="1:21" x14ac:dyDescent="0.3">
      <c r="A1027">
        <v>10210</v>
      </c>
      <c r="B1027">
        <v>39</v>
      </c>
      <c r="C1027">
        <v>59.16</v>
      </c>
      <c r="D1027">
        <v>10</v>
      </c>
      <c r="E1027" s="1">
        <v>38322</v>
      </c>
      <c r="F1027" t="s">
        <v>0</v>
      </c>
      <c r="G1027">
        <v>1</v>
      </c>
      <c r="H1027">
        <v>2004</v>
      </c>
      <c r="I1027" t="s">
        <v>49</v>
      </c>
      <c r="J1027" t="s">
        <v>116</v>
      </c>
      <c r="K1027" t="s">
        <v>242</v>
      </c>
      <c r="L1027" t="s">
        <v>243</v>
      </c>
      <c r="M1027" t="s">
        <v>244</v>
      </c>
      <c r="N1027" t="s">
        <v>244</v>
      </c>
      <c r="O1027" t="s">
        <v>245</v>
      </c>
      <c r="P1027" t="s">
        <v>195</v>
      </c>
      <c r="Q1027" t="s">
        <v>195</v>
      </c>
      <c r="R1027" t="s">
        <v>354</v>
      </c>
      <c r="S1027" t="s">
        <v>7</v>
      </c>
      <c r="T1027" t="s">
        <v>345</v>
      </c>
      <c r="U1027">
        <f>Sales_Order[[#This Row],[Quantity ordered]]*Sales_Order[[#This Row],[Price each]]</f>
        <v>2307.2399999999998</v>
      </c>
    </row>
    <row r="1028" spans="1:21" x14ac:dyDescent="0.3">
      <c r="A1028">
        <v>10223</v>
      </c>
      <c r="B1028">
        <v>20</v>
      </c>
      <c r="C1028">
        <v>66.040000000000006</v>
      </c>
      <c r="D1028">
        <v>12</v>
      </c>
      <c r="E1028" s="1">
        <v>38037</v>
      </c>
      <c r="F1028" t="s">
        <v>0</v>
      </c>
      <c r="G1028">
        <v>1</v>
      </c>
      <c r="H1028">
        <v>2004</v>
      </c>
      <c r="I1028" t="s">
        <v>49</v>
      </c>
      <c r="J1028" t="s">
        <v>116</v>
      </c>
      <c r="K1028" t="s">
        <v>9</v>
      </c>
      <c r="L1028" t="s">
        <v>10</v>
      </c>
      <c r="M1028" t="s">
        <v>11</v>
      </c>
      <c r="N1028" t="s">
        <v>12</v>
      </c>
      <c r="O1028" t="s">
        <v>134</v>
      </c>
      <c r="P1028" t="s">
        <v>13</v>
      </c>
      <c r="Q1028" t="s">
        <v>14</v>
      </c>
      <c r="R1028" t="s">
        <v>325</v>
      </c>
      <c r="S1028" t="s">
        <v>7</v>
      </c>
      <c r="T1028" t="s">
        <v>320</v>
      </c>
      <c r="U1028">
        <f>Sales_Order[[#This Row],[Quantity ordered]]*Sales_Order[[#This Row],[Price each]]</f>
        <v>1320.8000000000002</v>
      </c>
    </row>
    <row r="1029" spans="1:21" x14ac:dyDescent="0.3">
      <c r="A1029">
        <v>10235</v>
      </c>
      <c r="B1029">
        <v>34</v>
      </c>
      <c r="C1029">
        <v>77.73</v>
      </c>
      <c r="D1029">
        <v>6</v>
      </c>
      <c r="E1029" s="1">
        <v>38021</v>
      </c>
      <c r="F1029" t="s">
        <v>0</v>
      </c>
      <c r="G1029">
        <v>2</v>
      </c>
      <c r="H1029">
        <v>2004</v>
      </c>
      <c r="I1029" t="s">
        <v>49</v>
      </c>
      <c r="J1029" t="s">
        <v>116</v>
      </c>
      <c r="K1029" t="s">
        <v>259</v>
      </c>
      <c r="L1029" t="s">
        <v>260</v>
      </c>
      <c r="M1029" t="s">
        <v>261</v>
      </c>
      <c r="N1029" t="s">
        <v>208</v>
      </c>
      <c r="O1029" t="s">
        <v>262</v>
      </c>
      <c r="P1029" t="s">
        <v>210</v>
      </c>
      <c r="Q1029" t="s">
        <v>6</v>
      </c>
      <c r="R1029" t="s">
        <v>359</v>
      </c>
      <c r="S1029" t="s">
        <v>7</v>
      </c>
      <c r="T1029" t="s">
        <v>327</v>
      </c>
      <c r="U1029">
        <f>Sales_Order[[#This Row],[Quantity ordered]]*Sales_Order[[#This Row],[Price each]]</f>
        <v>2642.82</v>
      </c>
    </row>
    <row r="1030" spans="1:21" x14ac:dyDescent="0.3">
      <c r="A1030">
        <v>10250</v>
      </c>
      <c r="B1030">
        <v>50</v>
      </c>
      <c r="C1030">
        <v>61.22</v>
      </c>
      <c r="D1030">
        <v>7</v>
      </c>
      <c r="E1030" s="1">
        <v>38296</v>
      </c>
      <c r="F1030" t="s">
        <v>0</v>
      </c>
      <c r="G1030">
        <v>2</v>
      </c>
      <c r="H1030">
        <v>2004</v>
      </c>
      <c r="I1030" t="s">
        <v>49</v>
      </c>
      <c r="J1030" t="s">
        <v>116</v>
      </c>
      <c r="K1030" t="s">
        <v>272</v>
      </c>
      <c r="L1030" t="s">
        <v>273</v>
      </c>
      <c r="M1030" t="s">
        <v>274</v>
      </c>
      <c r="N1030" t="s">
        <v>161</v>
      </c>
      <c r="O1030" t="s">
        <v>166</v>
      </c>
      <c r="P1030" t="s">
        <v>5</v>
      </c>
      <c r="Q1030" t="s">
        <v>6</v>
      </c>
      <c r="R1030" t="s">
        <v>363</v>
      </c>
      <c r="S1030" t="s">
        <v>8</v>
      </c>
      <c r="T1030" t="s">
        <v>329</v>
      </c>
      <c r="U1030">
        <f>Sales_Order[[#This Row],[Quantity ordered]]*Sales_Order[[#This Row],[Price each]]</f>
        <v>3061</v>
      </c>
    </row>
    <row r="1031" spans="1:21" x14ac:dyDescent="0.3">
      <c r="A1031">
        <v>10308</v>
      </c>
      <c r="B1031">
        <v>46</v>
      </c>
      <c r="C1031">
        <v>66.040000000000006</v>
      </c>
      <c r="D1031">
        <v>10</v>
      </c>
      <c r="E1031" s="1">
        <v>38275</v>
      </c>
      <c r="F1031" t="s">
        <v>0</v>
      </c>
      <c r="G1031">
        <v>4</v>
      </c>
      <c r="H1031">
        <v>2004</v>
      </c>
      <c r="I1031" t="s">
        <v>49</v>
      </c>
      <c r="J1031" t="s">
        <v>116</v>
      </c>
      <c r="K1031" t="s">
        <v>248</v>
      </c>
      <c r="L1031" t="s">
        <v>249</v>
      </c>
      <c r="M1031" t="s">
        <v>250</v>
      </c>
      <c r="N1031" t="s">
        <v>4</v>
      </c>
      <c r="O1031" t="s">
        <v>251</v>
      </c>
      <c r="P1031" t="s">
        <v>5</v>
      </c>
      <c r="Q1031" t="s">
        <v>6</v>
      </c>
      <c r="R1031" t="s">
        <v>356</v>
      </c>
      <c r="S1031" t="s">
        <v>8</v>
      </c>
      <c r="T1031" t="s">
        <v>324</v>
      </c>
      <c r="U1031">
        <f>Sales_Order[[#This Row],[Quantity ordered]]*Sales_Order[[#This Row],[Price each]]</f>
        <v>3037.84</v>
      </c>
    </row>
    <row r="1032" spans="1:21" x14ac:dyDescent="0.3">
      <c r="A1032">
        <v>10316</v>
      </c>
      <c r="B1032">
        <v>24</v>
      </c>
      <c r="C1032">
        <v>59.16</v>
      </c>
      <c r="D1032">
        <v>2</v>
      </c>
      <c r="E1032" s="1">
        <v>37997</v>
      </c>
      <c r="F1032" t="s">
        <v>0</v>
      </c>
      <c r="G1032">
        <v>4</v>
      </c>
      <c r="H1032">
        <v>2004</v>
      </c>
      <c r="I1032" t="s">
        <v>49</v>
      </c>
      <c r="J1032" t="s">
        <v>116</v>
      </c>
      <c r="K1032" t="s">
        <v>267</v>
      </c>
      <c r="L1032" t="s">
        <v>268</v>
      </c>
      <c r="M1032" t="s">
        <v>269</v>
      </c>
      <c r="N1032" t="s">
        <v>270</v>
      </c>
      <c r="O1032" t="s">
        <v>271</v>
      </c>
      <c r="P1032" t="s">
        <v>193</v>
      </c>
      <c r="Q1032" t="s">
        <v>157</v>
      </c>
      <c r="R1032" t="s">
        <v>362</v>
      </c>
      <c r="S1032" t="s">
        <v>7</v>
      </c>
      <c r="T1032" t="s">
        <v>334</v>
      </c>
      <c r="U1032">
        <f>Sales_Order[[#This Row],[Quantity ordered]]*Sales_Order[[#This Row],[Price each]]</f>
        <v>1419.84</v>
      </c>
    </row>
    <row r="1033" spans="1:21" x14ac:dyDescent="0.3">
      <c r="A1033">
        <v>10353</v>
      </c>
      <c r="B1033">
        <v>40</v>
      </c>
      <c r="C1033">
        <v>44.51</v>
      </c>
      <c r="D1033">
        <v>7</v>
      </c>
      <c r="E1033" s="1">
        <v>38089</v>
      </c>
      <c r="F1033" t="s">
        <v>0</v>
      </c>
      <c r="G1033">
        <v>4</v>
      </c>
      <c r="H1033">
        <v>2004</v>
      </c>
      <c r="I1033" t="s">
        <v>49</v>
      </c>
      <c r="J1033" t="s">
        <v>116</v>
      </c>
      <c r="K1033" t="s">
        <v>301</v>
      </c>
      <c r="L1033" t="s">
        <v>302</v>
      </c>
      <c r="M1033" t="s">
        <v>284</v>
      </c>
      <c r="N1033" t="s">
        <v>176</v>
      </c>
      <c r="O1033" t="s">
        <v>303</v>
      </c>
      <c r="P1033" t="s">
        <v>5</v>
      </c>
      <c r="Q1033" t="s">
        <v>6</v>
      </c>
      <c r="R1033" t="s">
        <v>372</v>
      </c>
      <c r="S1033" t="s">
        <v>7</v>
      </c>
      <c r="T1033" t="s">
        <v>336</v>
      </c>
      <c r="U1033">
        <f>Sales_Order[[#This Row],[Quantity ordered]]*Sales_Order[[#This Row],[Price each]]</f>
        <v>1780.3999999999999</v>
      </c>
    </row>
    <row r="1034" spans="1:21" x14ac:dyDescent="0.3">
      <c r="A1034">
        <v>10361</v>
      </c>
      <c r="B1034">
        <v>49</v>
      </c>
      <c r="C1034">
        <v>72.33</v>
      </c>
      <c r="D1034">
        <v>2</v>
      </c>
      <c r="E1034" s="1">
        <v>38338</v>
      </c>
      <c r="F1034" t="s">
        <v>0</v>
      </c>
      <c r="G1034">
        <v>4</v>
      </c>
      <c r="H1034">
        <v>2004</v>
      </c>
      <c r="I1034" t="s">
        <v>49</v>
      </c>
      <c r="J1034" t="s">
        <v>116</v>
      </c>
      <c r="K1034" t="s">
        <v>18</v>
      </c>
      <c r="L1034" t="s">
        <v>19</v>
      </c>
      <c r="M1034" t="s">
        <v>20</v>
      </c>
      <c r="N1034" t="s">
        <v>21</v>
      </c>
      <c r="O1034" t="s">
        <v>136</v>
      </c>
      <c r="P1034" t="s">
        <v>13</v>
      </c>
      <c r="Q1034" t="s">
        <v>14</v>
      </c>
      <c r="R1034" t="s">
        <v>335</v>
      </c>
      <c r="S1034" t="s">
        <v>8</v>
      </c>
      <c r="T1034" t="s">
        <v>336</v>
      </c>
      <c r="U1034">
        <f>Sales_Order[[#This Row],[Quantity ordered]]*Sales_Order[[#This Row],[Price each]]</f>
        <v>3544.17</v>
      </c>
    </row>
    <row r="1035" spans="1:21" x14ac:dyDescent="0.3">
      <c r="A1035">
        <v>10388</v>
      </c>
      <c r="B1035">
        <v>35</v>
      </c>
      <c r="C1035">
        <v>100</v>
      </c>
      <c r="D1035">
        <v>8</v>
      </c>
      <c r="E1035" s="1">
        <v>38414</v>
      </c>
      <c r="F1035" t="s">
        <v>0</v>
      </c>
      <c r="G1035">
        <v>1</v>
      </c>
      <c r="H1035">
        <v>2005</v>
      </c>
      <c r="I1035" t="s">
        <v>49</v>
      </c>
      <c r="J1035" t="s">
        <v>116</v>
      </c>
      <c r="K1035" t="s">
        <v>189</v>
      </c>
      <c r="L1035" t="s">
        <v>190</v>
      </c>
      <c r="M1035" t="s">
        <v>191</v>
      </c>
      <c r="N1035" t="s">
        <v>181</v>
      </c>
      <c r="O1035" t="s">
        <v>192</v>
      </c>
      <c r="P1035" t="s">
        <v>5</v>
      </c>
      <c r="Q1035" t="s">
        <v>6</v>
      </c>
      <c r="R1035" t="s">
        <v>337</v>
      </c>
      <c r="S1035" t="s">
        <v>8</v>
      </c>
      <c r="T1035" t="s">
        <v>338</v>
      </c>
      <c r="U1035">
        <f>Sales_Order[[#This Row],[Quantity ordered]]*Sales_Order[[#This Row],[Price each]]</f>
        <v>3500</v>
      </c>
    </row>
    <row r="1036" spans="1:21" x14ac:dyDescent="0.3">
      <c r="A1036">
        <v>10401</v>
      </c>
      <c r="B1036">
        <v>62</v>
      </c>
      <c r="C1036">
        <v>77.73</v>
      </c>
      <c r="D1036">
        <v>6</v>
      </c>
      <c r="E1036" s="1">
        <v>38415</v>
      </c>
      <c r="F1036" t="s">
        <v>275</v>
      </c>
      <c r="G1036">
        <v>2</v>
      </c>
      <c r="H1036">
        <v>2005</v>
      </c>
      <c r="I1036" t="s">
        <v>49</v>
      </c>
      <c r="J1036" t="s">
        <v>116</v>
      </c>
      <c r="K1036" t="s">
        <v>168</v>
      </c>
      <c r="L1036" t="s">
        <v>169</v>
      </c>
      <c r="M1036" t="s">
        <v>170</v>
      </c>
      <c r="N1036" t="s">
        <v>171</v>
      </c>
      <c r="O1036" t="s">
        <v>172</v>
      </c>
      <c r="P1036" t="s">
        <v>5</v>
      </c>
      <c r="Q1036" t="s">
        <v>6</v>
      </c>
      <c r="R1036" t="s">
        <v>328</v>
      </c>
      <c r="S1036" t="s">
        <v>8</v>
      </c>
      <c r="T1036" t="s">
        <v>327</v>
      </c>
      <c r="U1036">
        <f>Sales_Order[[#This Row],[Quantity ordered]]*Sales_Order[[#This Row],[Price each]]</f>
        <v>4819.26</v>
      </c>
    </row>
    <row r="1037" spans="1:21" x14ac:dyDescent="0.3">
      <c r="A1037">
        <v>10135</v>
      </c>
      <c r="B1037">
        <v>30</v>
      </c>
      <c r="C1037">
        <v>89.8</v>
      </c>
      <c r="D1037">
        <v>17</v>
      </c>
      <c r="E1037" s="1">
        <v>37659</v>
      </c>
      <c r="F1037" t="s">
        <v>0</v>
      </c>
      <c r="G1037">
        <v>3</v>
      </c>
      <c r="H1037">
        <v>2003</v>
      </c>
      <c r="I1037" t="s">
        <v>1</v>
      </c>
      <c r="J1037" t="s">
        <v>117</v>
      </c>
      <c r="K1037" t="s">
        <v>225</v>
      </c>
      <c r="L1037" t="s">
        <v>226</v>
      </c>
      <c r="M1037" t="s">
        <v>227</v>
      </c>
      <c r="N1037" t="s">
        <v>161</v>
      </c>
      <c r="O1037" t="s">
        <v>177</v>
      </c>
      <c r="P1037" t="s">
        <v>5</v>
      </c>
      <c r="Q1037" t="s">
        <v>6</v>
      </c>
      <c r="R1037" t="s">
        <v>349</v>
      </c>
      <c r="S1037" t="s">
        <v>7</v>
      </c>
      <c r="T1037" t="s">
        <v>339</v>
      </c>
      <c r="U1037">
        <f>Sales_Order[[#This Row],[Quantity ordered]]*Sales_Order[[#This Row],[Price each]]</f>
        <v>2694</v>
      </c>
    </row>
    <row r="1038" spans="1:21" x14ac:dyDescent="0.3">
      <c r="A1038">
        <v>10145</v>
      </c>
      <c r="B1038">
        <v>27</v>
      </c>
      <c r="C1038">
        <v>100</v>
      </c>
      <c r="D1038">
        <v>4</v>
      </c>
      <c r="E1038" s="1">
        <v>37858</v>
      </c>
      <c r="F1038" t="s">
        <v>0</v>
      </c>
      <c r="G1038">
        <v>3</v>
      </c>
      <c r="H1038">
        <v>2003</v>
      </c>
      <c r="I1038" t="s">
        <v>1</v>
      </c>
      <c r="J1038" t="s">
        <v>117</v>
      </c>
      <c r="K1038" t="s">
        <v>158</v>
      </c>
      <c r="L1038" t="s">
        <v>159</v>
      </c>
      <c r="M1038" t="s">
        <v>160</v>
      </c>
      <c r="N1038" t="s">
        <v>161</v>
      </c>
      <c r="O1038" t="s">
        <v>162</v>
      </c>
      <c r="P1038" t="s">
        <v>5</v>
      </c>
      <c r="Q1038" t="s">
        <v>6</v>
      </c>
      <c r="R1038" t="s">
        <v>321</v>
      </c>
      <c r="S1038" t="s">
        <v>8</v>
      </c>
      <c r="T1038" t="s">
        <v>322</v>
      </c>
      <c r="U1038">
        <f>Sales_Order[[#This Row],[Quantity ordered]]*Sales_Order[[#This Row],[Price each]]</f>
        <v>2700</v>
      </c>
    </row>
    <row r="1039" spans="1:21" x14ac:dyDescent="0.3">
      <c r="A1039">
        <v>10169</v>
      </c>
      <c r="B1039">
        <v>34</v>
      </c>
      <c r="C1039">
        <v>100</v>
      </c>
      <c r="D1039">
        <v>12</v>
      </c>
      <c r="E1039" s="1">
        <v>37722</v>
      </c>
      <c r="F1039" t="s">
        <v>0</v>
      </c>
      <c r="G1039">
        <v>4</v>
      </c>
      <c r="H1039">
        <v>2003</v>
      </c>
      <c r="I1039" t="s">
        <v>1</v>
      </c>
      <c r="J1039" t="s">
        <v>117</v>
      </c>
      <c r="K1039" t="s">
        <v>26</v>
      </c>
      <c r="L1039" t="s">
        <v>27</v>
      </c>
      <c r="M1039" t="s">
        <v>28</v>
      </c>
      <c r="N1039" t="s">
        <v>21</v>
      </c>
      <c r="O1039" t="s">
        <v>137</v>
      </c>
      <c r="P1039" t="s">
        <v>13</v>
      </c>
      <c r="Q1039" t="s">
        <v>14</v>
      </c>
      <c r="R1039" t="s">
        <v>352</v>
      </c>
      <c r="S1039" t="s">
        <v>8</v>
      </c>
      <c r="T1039" t="s">
        <v>334</v>
      </c>
      <c r="U1039">
        <f>Sales_Order[[#This Row],[Quantity ordered]]*Sales_Order[[#This Row],[Price each]]</f>
        <v>3400</v>
      </c>
    </row>
    <row r="1040" spans="1:21" x14ac:dyDescent="0.3">
      <c r="A1040">
        <v>10237</v>
      </c>
      <c r="B1040">
        <v>27</v>
      </c>
      <c r="C1040">
        <v>100</v>
      </c>
      <c r="D1040">
        <v>5</v>
      </c>
      <c r="E1040" s="1">
        <v>38111</v>
      </c>
      <c r="F1040" t="s">
        <v>0</v>
      </c>
      <c r="G1040">
        <v>2</v>
      </c>
      <c r="H1040">
        <v>2004</v>
      </c>
      <c r="I1040" t="s">
        <v>1</v>
      </c>
      <c r="J1040" t="s">
        <v>117</v>
      </c>
      <c r="K1040" t="s">
        <v>15</v>
      </c>
      <c r="L1040" t="s">
        <v>16</v>
      </c>
      <c r="M1040" t="s">
        <v>3</v>
      </c>
      <c r="N1040" t="s">
        <v>4</v>
      </c>
      <c r="O1040" t="s">
        <v>135</v>
      </c>
      <c r="P1040" t="s">
        <v>5</v>
      </c>
      <c r="Q1040" t="s">
        <v>6</v>
      </c>
      <c r="R1040" t="s">
        <v>326</v>
      </c>
      <c r="S1040" t="s">
        <v>8</v>
      </c>
      <c r="T1040" t="s">
        <v>327</v>
      </c>
      <c r="U1040">
        <f>Sales_Order[[#This Row],[Quantity ordered]]*Sales_Order[[#This Row],[Price each]]</f>
        <v>2700</v>
      </c>
    </row>
    <row r="1041" spans="1:21" x14ac:dyDescent="0.3">
      <c r="A1041">
        <v>10264</v>
      </c>
      <c r="B1041">
        <v>34</v>
      </c>
      <c r="C1041">
        <v>97.97</v>
      </c>
      <c r="D1041">
        <v>7</v>
      </c>
      <c r="E1041" s="1">
        <v>38168</v>
      </c>
      <c r="F1041" t="s">
        <v>0</v>
      </c>
      <c r="G1041">
        <v>2</v>
      </c>
      <c r="H1041">
        <v>2004</v>
      </c>
      <c r="I1041" t="s">
        <v>1</v>
      </c>
      <c r="J1041" t="s">
        <v>117</v>
      </c>
      <c r="K1041" t="s">
        <v>263</v>
      </c>
      <c r="L1041" t="s">
        <v>264</v>
      </c>
      <c r="M1041" t="s">
        <v>265</v>
      </c>
      <c r="N1041" t="s">
        <v>181</v>
      </c>
      <c r="O1041" t="s">
        <v>266</v>
      </c>
      <c r="P1041" t="s">
        <v>5</v>
      </c>
      <c r="Q1041" t="s">
        <v>6</v>
      </c>
      <c r="R1041" t="s">
        <v>360</v>
      </c>
      <c r="S1041" t="s">
        <v>8</v>
      </c>
      <c r="T1041" t="s">
        <v>331</v>
      </c>
      <c r="U1041">
        <f>Sales_Order[[#This Row],[Quantity ordered]]*Sales_Order[[#This Row],[Price each]]</f>
        <v>3330.98</v>
      </c>
    </row>
    <row r="1042" spans="1:21" x14ac:dyDescent="0.3">
      <c r="A1042">
        <v>10276</v>
      </c>
      <c r="B1042">
        <v>38</v>
      </c>
      <c r="C1042">
        <v>100</v>
      </c>
      <c r="D1042">
        <v>13</v>
      </c>
      <c r="E1042" s="1">
        <v>38025</v>
      </c>
      <c r="F1042" t="s">
        <v>0</v>
      </c>
      <c r="G1042">
        <v>3</v>
      </c>
      <c r="H1042">
        <v>2004</v>
      </c>
      <c r="I1042" t="s">
        <v>1</v>
      </c>
      <c r="J1042" t="s">
        <v>117</v>
      </c>
      <c r="K1042" t="s">
        <v>279</v>
      </c>
      <c r="L1042" t="s">
        <v>280</v>
      </c>
      <c r="M1042" t="s">
        <v>235</v>
      </c>
      <c r="N1042" t="s">
        <v>181</v>
      </c>
      <c r="O1042" t="s">
        <v>236</v>
      </c>
      <c r="P1042" t="s">
        <v>5</v>
      </c>
      <c r="Q1042" t="s">
        <v>6</v>
      </c>
      <c r="R1042" t="s">
        <v>365</v>
      </c>
      <c r="S1042" t="s">
        <v>8</v>
      </c>
      <c r="T1042" t="s">
        <v>322</v>
      </c>
      <c r="U1042">
        <f>Sales_Order[[#This Row],[Quantity ordered]]*Sales_Order[[#This Row],[Price each]]</f>
        <v>3800</v>
      </c>
    </row>
    <row r="1043" spans="1:21" x14ac:dyDescent="0.3">
      <c r="A1043">
        <v>10285</v>
      </c>
      <c r="B1043">
        <v>26</v>
      </c>
      <c r="C1043">
        <v>100</v>
      </c>
      <c r="D1043">
        <v>4</v>
      </c>
      <c r="E1043" s="1">
        <v>38226</v>
      </c>
      <c r="F1043" t="s">
        <v>0</v>
      </c>
      <c r="G1043">
        <v>3</v>
      </c>
      <c r="H1043">
        <v>2004</v>
      </c>
      <c r="I1043" t="s">
        <v>1</v>
      </c>
      <c r="J1043" t="s">
        <v>117</v>
      </c>
      <c r="K1043" t="s">
        <v>178</v>
      </c>
      <c r="L1043" t="s">
        <v>179</v>
      </c>
      <c r="M1043" t="s">
        <v>180</v>
      </c>
      <c r="N1043" t="s">
        <v>181</v>
      </c>
      <c r="O1043" t="s">
        <v>182</v>
      </c>
      <c r="P1043" t="s">
        <v>5</v>
      </c>
      <c r="Q1043" t="s">
        <v>6</v>
      </c>
      <c r="R1043" t="s">
        <v>332</v>
      </c>
      <c r="S1043" t="s">
        <v>7</v>
      </c>
      <c r="T1043" t="s">
        <v>322</v>
      </c>
      <c r="U1043">
        <f>Sales_Order[[#This Row],[Quantity ordered]]*Sales_Order[[#This Row],[Price each]]</f>
        <v>2600</v>
      </c>
    </row>
    <row r="1044" spans="1:21" x14ac:dyDescent="0.3">
      <c r="A1044">
        <v>10319</v>
      </c>
      <c r="B1044">
        <v>22</v>
      </c>
      <c r="C1044">
        <v>100</v>
      </c>
      <c r="D1044">
        <v>8</v>
      </c>
      <c r="E1044" s="1">
        <v>38057</v>
      </c>
      <c r="F1044" t="s">
        <v>0</v>
      </c>
      <c r="G1044">
        <v>4</v>
      </c>
      <c r="H1044">
        <v>2004</v>
      </c>
      <c r="I1044" t="s">
        <v>1</v>
      </c>
      <c r="J1044" t="s">
        <v>117</v>
      </c>
      <c r="K1044" t="s">
        <v>41</v>
      </c>
      <c r="L1044" t="s">
        <v>42</v>
      </c>
      <c r="M1044" t="s">
        <v>3</v>
      </c>
      <c r="N1044" t="s">
        <v>4</v>
      </c>
      <c r="O1044" t="s">
        <v>135</v>
      </c>
      <c r="P1044" t="s">
        <v>5</v>
      </c>
      <c r="Q1044" t="s">
        <v>6</v>
      </c>
      <c r="R1044" t="s">
        <v>367</v>
      </c>
      <c r="S1044" t="s">
        <v>7</v>
      </c>
      <c r="T1044" t="s">
        <v>334</v>
      </c>
      <c r="U1044">
        <f>Sales_Order[[#This Row],[Quantity ordered]]*Sales_Order[[#This Row],[Price each]]</f>
        <v>2200</v>
      </c>
    </row>
    <row r="1045" spans="1:21" x14ac:dyDescent="0.3">
      <c r="A1045">
        <v>10331</v>
      </c>
      <c r="B1045">
        <v>32</v>
      </c>
      <c r="C1045">
        <v>100</v>
      </c>
      <c r="D1045">
        <v>4</v>
      </c>
      <c r="E1045" s="1">
        <v>38308</v>
      </c>
      <c r="F1045" t="s">
        <v>0</v>
      </c>
      <c r="G1045">
        <v>4</v>
      </c>
      <c r="H1045">
        <v>2004</v>
      </c>
      <c r="I1045" t="s">
        <v>1</v>
      </c>
      <c r="J1045" t="s">
        <v>117</v>
      </c>
      <c r="K1045" t="s">
        <v>246</v>
      </c>
      <c r="L1045" t="s">
        <v>247</v>
      </c>
      <c r="M1045" t="s">
        <v>203</v>
      </c>
      <c r="N1045" t="s">
        <v>186</v>
      </c>
      <c r="O1045" t="s">
        <v>204</v>
      </c>
      <c r="P1045" t="s">
        <v>5</v>
      </c>
      <c r="Q1045" t="s">
        <v>6</v>
      </c>
      <c r="R1045" t="s">
        <v>355</v>
      </c>
      <c r="S1045" t="s">
        <v>8</v>
      </c>
      <c r="T1045" t="s">
        <v>334</v>
      </c>
      <c r="U1045">
        <f>Sales_Order[[#This Row],[Quantity ordered]]*Sales_Order[[#This Row],[Price each]]</f>
        <v>3200</v>
      </c>
    </row>
    <row r="1046" spans="1:21" x14ac:dyDescent="0.3">
      <c r="A1046">
        <v>10365</v>
      </c>
      <c r="B1046">
        <v>22</v>
      </c>
      <c r="C1046">
        <v>100</v>
      </c>
      <c r="D1046">
        <v>3</v>
      </c>
      <c r="E1046" s="1">
        <v>38534</v>
      </c>
      <c r="F1046" t="s">
        <v>0</v>
      </c>
      <c r="G1046">
        <v>1</v>
      </c>
      <c r="H1046">
        <v>2005</v>
      </c>
      <c r="I1046" t="s">
        <v>1</v>
      </c>
      <c r="J1046" t="s">
        <v>117</v>
      </c>
      <c r="K1046" t="s">
        <v>252</v>
      </c>
      <c r="L1046" t="s">
        <v>253</v>
      </c>
      <c r="M1046" t="s">
        <v>191</v>
      </c>
      <c r="N1046" t="s">
        <v>181</v>
      </c>
      <c r="O1046" t="s">
        <v>192</v>
      </c>
      <c r="P1046" t="s">
        <v>5</v>
      </c>
      <c r="Q1046" t="s">
        <v>6</v>
      </c>
      <c r="R1046" t="s">
        <v>357</v>
      </c>
      <c r="S1046" t="s">
        <v>8</v>
      </c>
      <c r="T1046" t="s">
        <v>345</v>
      </c>
      <c r="U1046">
        <f>Sales_Order[[#This Row],[Quantity ordered]]*Sales_Order[[#This Row],[Price each]]</f>
        <v>2200</v>
      </c>
    </row>
    <row r="1047" spans="1:21" x14ac:dyDescent="0.3">
      <c r="A1047">
        <v>10390</v>
      </c>
      <c r="B1047">
        <v>45</v>
      </c>
      <c r="C1047">
        <v>48.98</v>
      </c>
      <c r="D1047">
        <v>12</v>
      </c>
      <c r="E1047" s="1">
        <v>38445</v>
      </c>
      <c r="F1047" t="s">
        <v>0</v>
      </c>
      <c r="G1047">
        <v>1</v>
      </c>
      <c r="H1047">
        <v>2005</v>
      </c>
      <c r="I1047" t="s">
        <v>1</v>
      </c>
      <c r="J1047" t="s">
        <v>117</v>
      </c>
      <c r="K1047" t="s">
        <v>225</v>
      </c>
      <c r="L1047" t="s">
        <v>226</v>
      </c>
      <c r="M1047" t="s">
        <v>227</v>
      </c>
      <c r="N1047" t="s">
        <v>161</v>
      </c>
      <c r="O1047" t="s">
        <v>177</v>
      </c>
      <c r="P1047" t="s">
        <v>5</v>
      </c>
      <c r="Q1047" t="s">
        <v>6</v>
      </c>
      <c r="R1047" t="s">
        <v>349</v>
      </c>
      <c r="S1047" t="s">
        <v>7</v>
      </c>
      <c r="T1047" t="s">
        <v>338</v>
      </c>
      <c r="U1047">
        <f>Sales_Order[[#This Row],[Quantity ordered]]*Sales_Order[[#This Row],[Price each]]</f>
        <v>2204.1</v>
      </c>
    </row>
    <row r="1048" spans="1:21" x14ac:dyDescent="0.3">
      <c r="A1048">
        <v>10120</v>
      </c>
      <c r="B1048">
        <v>49</v>
      </c>
      <c r="C1048">
        <v>50.62</v>
      </c>
      <c r="D1048">
        <v>12</v>
      </c>
      <c r="E1048" s="1">
        <v>37740</v>
      </c>
      <c r="F1048" t="s">
        <v>0</v>
      </c>
      <c r="G1048">
        <v>2</v>
      </c>
      <c r="H1048">
        <v>2003</v>
      </c>
      <c r="I1048" t="s">
        <v>49</v>
      </c>
      <c r="J1048" t="s">
        <v>118</v>
      </c>
      <c r="K1048" t="s">
        <v>9</v>
      </c>
      <c r="L1048" t="s">
        <v>10</v>
      </c>
      <c r="M1048" t="s">
        <v>11</v>
      </c>
      <c r="N1048" t="s">
        <v>12</v>
      </c>
      <c r="O1048" t="s">
        <v>134</v>
      </c>
      <c r="P1048" t="s">
        <v>13</v>
      </c>
      <c r="Q1048" t="s">
        <v>14</v>
      </c>
      <c r="R1048" t="s">
        <v>325</v>
      </c>
      <c r="S1048" t="s">
        <v>7</v>
      </c>
      <c r="T1048" t="s">
        <v>327</v>
      </c>
      <c r="U1048">
        <f>Sales_Order[[#This Row],[Quantity ordered]]*Sales_Order[[#This Row],[Price each]]</f>
        <v>2480.3799999999997</v>
      </c>
    </row>
    <row r="1049" spans="1:21" x14ac:dyDescent="0.3">
      <c r="A1049">
        <v>10143</v>
      </c>
      <c r="B1049">
        <v>34</v>
      </c>
      <c r="C1049">
        <v>36.659999999999997</v>
      </c>
      <c r="D1049">
        <v>1</v>
      </c>
      <c r="E1049" s="1">
        <v>37902</v>
      </c>
      <c r="F1049" t="s">
        <v>0</v>
      </c>
      <c r="G1049">
        <v>3</v>
      </c>
      <c r="H1049">
        <v>2003</v>
      </c>
      <c r="I1049" t="s">
        <v>49</v>
      </c>
      <c r="J1049" t="s">
        <v>118</v>
      </c>
      <c r="K1049" t="s">
        <v>252</v>
      </c>
      <c r="L1049" t="s">
        <v>253</v>
      </c>
      <c r="M1049" t="s">
        <v>191</v>
      </c>
      <c r="N1049" t="s">
        <v>181</v>
      </c>
      <c r="O1049" t="s">
        <v>192</v>
      </c>
      <c r="P1049" t="s">
        <v>5</v>
      </c>
      <c r="Q1049" t="s">
        <v>6</v>
      </c>
      <c r="R1049" t="s">
        <v>357</v>
      </c>
      <c r="S1049" t="s">
        <v>7</v>
      </c>
      <c r="T1049" t="s">
        <v>322</v>
      </c>
      <c r="U1049">
        <f>Sales_Order[[#This Row],[Quantity ordered]]*Sales_Order[[#This Row],[Price each]]</f>
        <v>1246.4399999999998</v>
      </c>
    </row>
    <row r="1050" spans="1:21" x14ac:dyDescent="0.3">
      <c r="A1050">
        <v>10168</v>
      </c>
      <c r="B1050">
        <v>48</v>
      </c>
      <c r="C1050">
        <v>51.93</v>
      </c>
      <c r="D1050">
        <v>13</v>
      </c>
      <c r="E1050" s="1">
        <v>37922</v>
      </c>
      <c r="F1050" t="s">
        <v>0</v>
      </c>
      <c r="G1050">
        <v>4</v>
      </c>
      <c r="H1050">
        <v>2003</v>
      </c>
      <c r="I1050" t="s">
        <v>49</v>
      </c>
      <c r="J1050" t="s">
        <v>118</v>
      </c>
      <c r="K1050" t="s">
        <v>163</v>
      </c>
      <c r="L1050" t="s">
        <v>164</v>
      </c>
      <c r="M1050" t="s">
        <v>165</v>
      </c>
      <c r="N1050" t="s">
        <v>161</v>
      </c>
      <c r="O1050" t="s">
        <v>166</v>
      </c>
      <c r="P1050" t="s">
        <v>5</v>
      </c>
      <c r="Q1050" t="s">
        <v>6</v>
      </c>
      <c r="R1050" t="s">
        <v>323</v>
      </c>
      <c r="S1050" t="s">
        <v>7</v>
      </c>
      <c r="T1050" t="s">
        <v>324</v>
      </c>
      <c r="U1050">
        <f>Sales_Order[[#This Row],[Quantity ordered]]*Sales_Order[[#This Row],[Price each]]</f>
        <v>2492.64</v>
      </c>
    </row>
    <row r="1051" spans="1:21" x14ac:dyDescent="0.3">
      <c r="A1051">
        <v>10199</v>
      </c>
      <c r="B1051">
        <v>29</v>
      </c>
      <c r="C1051">
        <v>38.4</v>
      </c>
      <c r="D1051">
        <v>1</v>
      </c>
      <c r="E1051" s="1">
        <v>37633</v>
      </c>
      <c r="F1051" t="s">
        <v>0</v>
      </c>
      <c r="G1051">
        <v>4</v>
      </c>
      <c r="H1051">
        <v>2003</v>
      </c>
      <c r="I1051" t="s">
        <v>49</v>
      </c>
      <c r="J1051" t="s">
        <v>118</v>
      </c>
      <c r="K1051" t="s">
        <v>211</v>
      </c>
      <c r="L1051" t="s">
        <v>212</v>
      </c>
      <c r="M1051" t="s">
        <v>213</v>
      </c>
      <c r="N1051" t="s">
        <v>161</v>
      </c>
      <c r="O1051" t="s">
        <v>172</v>
      </c>
      <c r="P1051" t="s">
        <v>5</v>
      </c>
      <c r="Q1051" t="s">
        <v>6</v>
      </c>
      <c r="R1051" t="s">
        <v>344</v>
      </c>
      <c r="S1051" t="s">
        <v>7</v>
      </c>
      <c r="T1051" t="s">
        <v>336</v>
      </c>
      <c r="U1051">
        <f>Sales_Order[[#This Row],[Quantity ordered]]*Sales_Order[[#This Row],[Price each]]</f>
        <v>1113.5999999999999</v>
      </c>
    </row>
    <row r="1052" spans="1:21" x14ac:dyDescent="0.3">
      <c r="A1052">
        <v>10210</v>
      </c>
      <c r="B1052">
        <v>43</v>
      </c>
      <c r="C1052">
        <v>41.02</v>
      </c>
      <c r="D1052">
        <v>11</v>
      </c>
      <c r="E1052" s="1">
        <v>38322</v>
      </c>
      <c r="F1052" t="s">
        <v>0</v>
      </c>
      <c r="G1052">
        <v>1</v>
      </c>
      <c r="H1052">
        <v>2004</v>
      </c>
      <c r="I1052" t="s">
        <v>49</v>
      </c>
      <c r="J1052" t="s">
        <v>118</v>
      </c>
      <c r="K1052" t="s">
        <v>242</v>
      </c>
      <c r="L1052" t="s">
        <v>243</v>
      </c>
      <c r="M1052" t="s">
        <v>244</v>
      </c>
      <c r="N1052" t="s">
        <v>244</v>
      </c>
      <c r="O1052" t="s">
        <v>245</v>
      </c>
      <c r="P1052" t="s">
        <v>195</v>
      </c>
      <c r="Q1052" t="s">
        <v>195</v>
      </c>
      <c r="R1052" t="s">
        <v>354</v>
      </c>
      <c r="S1052" t="s">
        <v>7</v>
      </c>
      <c r="T1052" t="s">
        <v>345</v>
      </c>
      <c r="U1052">
        <f>Sales_Order[[#This Row],[Quantity ordered]]*Sales_Order[[#This Row],[Price each]]</f>
        <v>1763.8600000000001</v>
      </c>
    </row>
    <row r="1053" spans="1:21" x14ac:dyDescent="0.3">
      <c r="A1053">
        <v>10223</v>
      </c>
      <c r="B1053">
        <v>41</v>
      </c>
      <c r="C1053">
        <v>46.26</v>
      </c>
      <c r="D1053">
        <v>13</v>
      </c>
      <c r="E1053" s="1">
        <v>38037</v>
      </c>
      <c r="F1053" t="s">
        <v>0</v>
      </c>
      <c r="G1053">
        <v>1</v>
      </c>
      <c r="H1053">
        <v>2004</v>
      </c>
      <c r="I1053" t="s">
        <v>49</v>
      </c>
      <c r="J1053" t="s">
        <v>118</v>
      </c>
      <c r="K1053" t="s">
        <v>9</v>
      </c>
      <c r="L1053" t="s">
        <v>10</v>
      </c>
      <c r="M1053" t="s">
        <v>11</v>
      </c>
      <c r="N1053" t="s">
        <v>12</v>
      </c>
      <c r="O1053" t="s">
        <v>134</v>
      </c>
      <c r="P1053" t="s">
        <v>13</v>
      </c>
      <c r="Q1053" t="s">
        <v>14</v>
      </c>
      <c r="R1053" t="s">
        <v>325</v>
      </c>
      <c r="S1053" t="s">
        <v>7</v>
      </c>
      <c r="T1053" t="s">
        <v>320</v>
      </c>
      <c r="U1053">
        <f>Sales_Order[[#This Row],[Quantity ordered]]*Sales_Order[[#This Row],[Price each]]</f>
        <v>1896.6599999999999</v>
      </c>
    </row>
    <row r="1054" spans="1:21" x14ac:dyDescent="0.3">
      <c r="A1054">
        <v>10235</v>
      </c>
      <c r="B1054">
        <v>41</v>
      </c>
      <c r="C1054">
        <v>35.35</v>
      </c>
      <c r="D1054">
        <v>7</v>
      </c>
      <c r="E1054" s="1">
        <v>38021</v>
      </c>
      <c r="F1054" t="s">
        <v>0</v>
      </c>
      <c r="G1054">
        <v>2</v>
      </c>
      <c r="H1054">
        <v>2004</v>
      </c>
      <c r="I1054" t="s">
        <v>49</v>
      </c>
      <c r="J1054" t="s">
        <v>118</v>
      </c>
      <c r="K1054" t="s">
        <v>259</v>
      </c>
      <c r="L1054" t="s">
        <v>260</v>
      </c>
      <c r="M1054" t="s">
        <v>261</v>
      </c>
      <c r="N1054" t="s">
        <v>208</v>
      </c>
      <c r="O1054" t="s">
        <v>262</v>
      </c>
      <c r="P1054" t="s">
        <v>210</v>
      </c>
      <c r="Q1054" t="s">
        <v>6</v>
      </c>
      <c r="R1054" t="s">
        <v>359</v>
      </c>
      <c r="S1054" t="s">
        <v>7</v>
      </c>
      <c r="T1054" t="s">
        <v>327</v>
      </c>
      <c r="U1054">
        <f>Sales_Order[[#This Row],[Quantity ordered]]*Sales_Order[[#This Row],[Price each]]</f>
        <v>1449.3500000000001</v>
      </c>
    </row>
    <row r="1055" spans="1:21" x14ac:dyDescent="0.3">
      <c r="A1055">
        <v>10250</v>
      </c>
      <c r="B1055">
        <v>36</v>
      </c>
      <c r="C1055">
        <v>51.93</v>
      </c>
      <c r="D1055">
        <v>8</v>
      </c>
      <c r="E1055" s="1">
        <v>38296</v>
      </c>
      <c r="F1055" t="s">
        <v>0</v>
      </c>
      <c r="G1055">
        <v>2</v>
      </c>
      <c r="H1055">
        <v>2004</v>
      </c>
      <c r="I1055" t="s">
        <v>49</v>
      </c>
      <c r="J1055" t="s">
        <v>118</v>
      </c>
      <c r="K1055" t="s">
        <v>272</v>
      </c>
      <c r="L1055" t="s">
        <v>273</v>
      </c>
      <c r="M1055" t="s">
        <v>274</v>
      </c>
      <c r="N1055" t="s">
        <v>161</v>
      </c>
      <c r="O1055" t="s">
        <v>166</v>
      </c>
      <c r="P1055" t="s">
        <v>5</v>
      </c>
      <c r="Q1055" t="s">
        <v>6</v>
      </c>
      <c r="R1055" t="s">
        <v>363</v>
      </c>
      <c r="S1055" t="s">
        <v>7</v>
      </c>
      <c r="T1055" t="s">
        <v>329</v>
      </c>
      <c r="U1055">
        <f>Sales_Order[[#This Row],[Quantity ordered]]*Sales_Order[[#This Row],[Price each]]</f>
        <v>1869.48</v>
      </c>
    </row>
    <row r="1056" spans="1:21" x14ac:dyDescent="0.3">
      <c r="A1056">
        <v>10308</v>
      </c>
      <c r="B1056">
        <v>47</v>
      </c>
      <c r="C1056">
        <v>43.64</v>
      </c>
      <c r="D1056">
        <v>11</v>
      </c>
      <c r="E1056" s="1">
        <v>38275</v>
      </c>
      <c r="F1056" t="s">
        <v>0</v>
      </c>
      <c r="G1056">
        <v>4</v>
      </c>
      <c r="H1056">
        <v>2004</v>
      </c>
      <c r="I1056" t="s">
        <v>49</v>
      </c>
      <c r="J1056" t="s">
        <v>118</v>
      </c>
      <c r="K1056" t="s">
        <v>248</v>
      </c>
      <c r="L1056" t="s">
        <v>249</v>
      </c>
      <c r="M1056" t="s">
        <v>250</v>
      </c>
      <c r="N1056" t="s">
        <v>4</v>
      </c>
      <c r="O1056" t="s">
        <v>251</v>
      </c>
      <c r="P1056" t="s">
        <v>5</v>
      </c>
      <c r="Q1056" t="s">
        <v>6</v>
      </c>
      <c r="R1056" t="s">
        <v>356</v>
      </c>
      <c r="S1056" t="s">
        <v>7</v>
      </c>
      <c r="T1056" t="s">
        <v>324</v>
      </c>
      <c r="U1056">
        <f>Sales_Order[[#This Row],[Quantity ordered]]*Sales_Order[[#This Row],[Price each]]</f>
        <v>2051.08</v>
      </c>
    </row>
    <row r="1057" spans="1:21" x14ac:dyDescent="0.3">
      <c r="A1057">
        <v>10316</v>
      </c>
      <c r="B1057">
        <v>34</v>
      </c>
      <c r="C1057">
        <v>47.57</v>
      </c>
      <c r="D1057">
        <v>3</v>
      </c>
      <c r="E1057" s="1">
        <v>37997</v>
      </c>
      <c r="F1057" t="s">
        <v>0</v>
      </c>
      <c r="G1057">
        <v>4</v>
      </c>
      <c r="H1057">
        <v>2004</v>
      </c>
      <c r="I1057" t="s">
        <v>49</v>
      </c>
      <c r="J1057" t="s">
        <v>118</v>
      </c>
      <c r="K1057" t="s">
        <v>267</v>
      </c>
      <c r="L1057" t="s">
        <v>268</v>
      </c>
      <c r="M1057" t="s">
        <v>269</v>
      </c>
      <c r="N1057" t="s">
        <v>270</v>
      </c>
      <c r="O1057" t="s">
        <v>271</v>
      </c>
      <c r="P1057" t="s">
        <v>193</v>
      </c>
      <c r="Q1057" t="s">
        <v>157</v>
      </c>
      <c r="R1057" t="s">
        <v>362</v>
      </c>
      <c r="S1057" t="s">
        <v>7</v>
      </c>
      <c r="T1057" t="s">
        <v>334</v>
      </c>
      <c r="U1057">
        <f>Sales_Order[[#This Row],[Quantity ordered]]*Sales_Order[[#This Row],[Price each]]</f>
        <v>1617.38</v>
      </c>
    </row>
    <row r="1058" spans="1:21" x14ac:dyDescent="0.3">
      <c r="A1058">
        <v>10353</v>
      </c>
      <c r="B1058">
        <v>40</v>
      </c>
      <c r="C1058">
        <v>82.21</v>
      </c>
      <c r="D1058">
        <v>8</v>
      </c>
      <c r="E1058" s="1">
        <v>38089</v>
      </c>
      <c r="F1058" t="s">
        <v>0</v>
      </c>
      <c r="G1058">
        <v>4</v>
      </c>
      <c r="H1058">
        <v>2004</v>
      </c>
      <c r="I1058" t="s">
        <v>49</v>
      </c>
      <c r="J1058" t="s">
        <v>118</v>
      </c>
      <c r="K1058" t="s">
        <v>301</v>
      </c>
      <c r="L1058" t="s">
        <v>302</v>
      </c>
      <c r="M1058" t="s">
        <v>284</v>
      </c>
      <c r="N1058" t="s">
        <v>176</v>
      </c>
      <c r="O1058" t="s">
        <v>303</v>
      </c>
      <c r="P1058" t="s">
        <v>5</v>
      </c>
      <c r="Q1058" t="s">
        <v>6</v>
      </c>
      <c r="R1058" t="s">
        <v>372</v>
      </c>
      <c r="S1058" t="s">
        <v>8</v>
      </c>
      <c r="T1058" t="s">
        <v>336</v>
      </c>
      <c r="U1058">
        <f>Sales_Order[[#This Row],[Quantity ordered]]*Sales_Order[[#This Row],[Price each]]</f>
        <v>3288.3999999999996</v>
      </c>
    </row>
    <row r="1059" spans="1:21" x14ac:dyDescent="0.3">
      <c r="A1059">
        <v>10361</v>
      </c>
      <c r="B1059">
        <v>33</v>
      </c>
      <c r="C1059">
        <v>82.59</v>
      </c>
      <c r="D1059">
        <v>3</v>
      </c>
      <c r="E1059" s="1">
        <v>38338</v>
      </c>
      <c r="F1059" t="s">
        <v>0</v>
      </c>
      <c r="G1059">
        <v>4</v>
      </c>
      <c r="H1059">
        <v>2004</v>
      </c>
      <c r="I1059" t="s">
        <v>49</v>
      </c>
      <c r="J1059" t="s">
        <v>118</v>
      </c>
      <c r="K1059" t="s">
        <v>18</v>
      </c>
      <c r="L1059" t="s">
        <v>19</v>
      </c>
      <c r="M1059" t="s">
        <v>20</v>
      </c>
      <c r="N1059" t="s">
        <v>21</v>
      </c>
      <c r="O1059" t="s">
        <v>136</v>
      </c>
      <c r="P1059" t="s">
        <v>13</v>
      </c>
      <c r="Q1059" t="s">
        <v>14</v>
      </c>
      <c r="R1059" t="s">
        <v>335</v>
      </c>
      <c r="S1059" t="s">
        <v>7</v>
      </c>
      <c r="T1059" t="s">
        <v>336</v>
      </c>
      <c r="U1059">
        <f>Sales_Order[[#This Row],[Quantity ordered]]*Sales_Order[[#This Row],[Price each]]</f>
        <v>2725.4700000000003</v>
      </c>
    </row>
    <row r="1060" spans="1:21" x14ac:dyDescent="0.3">
      <c r="A1060">
        <v>10388</v>
      </c>
      <c r="B1060">
        <v>27</v>
      </c>
      <c r="C1060">
        <v>100</v>
      </c>
      <c r="D1060">
        <v>1</v>
      </c>
      <c r="E1060" s="1">
        <v>38414</v>
      </c>
      <c r="F1060" t="s">
        <v>0</v>
      </c>
      <c r="G1060">
        <v>1</v>
      </c>
      <c r="H1060">
        <v>2005</v>
      </c>
      <c r="I1060" t="s">
        <v>49</v>
      </c>
      <c r="J1060" t="s">
        <v>118</v>
      </c>
      <c r="K1060" t="s">
        <v>189</v>
      </c>
      <c r="L1060" t="s">
        <v>190</v>
      </c>
      <c r="M1060" t="s">
        <v>191</v>
      </c>
      <c r="N1060" t="s">
        <v>181</v>
      </c>
      <c r="O1060" t="s">
        <v>192</v>
      </c>
      <c r="P1060" t="s">
        <v>5</v>
      </c>
      <c r="Q1060" t="s">
        <v>6</v>
      </c>
      <c r="R1060" t="s">
        <v>337</v>
      </c>
      <c r="S1060" t="s">
        <v>8</v>
      </c>
      <c r="T1060" t="s">
        <v>338</v>
      </c>
      <c r="U1060">
        <f>Sales_Order[[#This Row],[Quantity ordered]]*Sales_Order[[#This Row],[Price each]]</f>
        <v>2700</v>
      </c>
    </row>
    <row r="1061" spans="1:21" x14ac:dyDescent="0.3">
      <c r="A1061">
        <v>10401</v>
      </c>
      <c r="B1061">
        <v>56</v>
      </c>
      <c r="C1061">
        <v>35.35</v>
      </c>
      <c r="D1061">
        <v>7</v>
      </c>
      <c r="E1061" s="1">
        <v>38415</v>
      </c>
      <c r="F1061" t="s">
        <v>275</v>
      </c>
      <c r="G1061">
        <v>2</v>
      </c>
      <c r="H1061">
        <v>2005</v>
      </c>
      <c r="I1061" t="s">
        <v>49</v>
      </c>
      <c r="J1061" t="s">
        <v>118</v>
      </c>
      <c r="K1061" t="s">
        <v>168</v>
      </c>
      <c r="L1061" t="s">
        <v>169</v>
      </c>
      <c r="M1061" t="s">
        <v>170</v>
      </c>
      <c r="N1061" t="s">
        <v>171</v>
      </c>
      <c r="O1061" t="s">
        <v>172</v>
      </c>
      <c r="P1061" t="s">
        <v>5</v>
      </c>
      <c r="Q1061" t="s">
        <v>6</v>
      </c>
      <c r="R1061" t="s">
        <v>328</v>
      </c>
      <c r="S1061" t="s">
        <v>7</v>
      </c>
      <c r="T1061" t="s">
        <v>327</v>
      </c>
      <c r="U1061">
        <f>Sales_Order[[#This Row],[Quantity ordered]]*Sales_Order[[#This Row],[Price each]]</f>
        <v>1979.6000000000001</v>
      </c>
    </row>
    <row r="1062" spans="1:21" x14ac:dyDescent="0.3">
      <c r="A1062">
        <v>10115</v>
      </c>
      <c r="B1062">
        <v>27</v>
      </c>
      <c r="C1062">
        <v>100</v>
      </c>
      <c r="D1062">
        <v>3</v>
      </c>
      <c r="E1062" s="1">
        <v>37715</v>
      </c>
      <c r="F1062" t="s">
        <v>0</v>
      </c>
      <c r="G1062">
        <v>2</v>
      </c>
      <c r="H1062">
        <v>2003</v>
      </c>
      <c r="I1062" t="s">
        <v>38</v>
      </c>
      <c r="J1062" t="s">
        <v>119</v>
      </c>
      <c r="K1062" t="s">
        <v>24</v>
      </c>
      <c r="L1062" t="s">
        <v>25</v>
      </c>
      <c r="M1062" t="s">
        <v>3</v>
      </c>
      <c r="N1062" t="s">
        <v>4</v>
      </c>
      <c r="O1062" t="s">
        <v>135</v>
      </c>
      <c r="P1062" t="s">
        <v>5</v>
      </c>
      <c r="Q1062" t="s">
        <v>6</v>
      </c>
      <c r="R1062" t="s">
        <v>340</v>
      </c>
      <c r="S1062" t="s">
        <v>7</v>
      </c>
      <c r="T1062" t="s">
        <v>327</v>
      </c>
      <c r="U1062">
        <f>Sales_Order[[#This Row],[Quantity ordered]]*Sales_Order[[#This Row],[Price each]]</f>
        <v>2700</v>
      </c>
    </row>
    <row r="1063" spans="1:21" x14ac:dyDescent="0.3">
      <c r="A1063">
        <v>10127</v>
      </c>
      <c r="B1063">
        <v>46</v>
      </c>
      <c r="C1063">
        <v>100</v>
      </c>
      <c r="D1063">
        <v>9</v>
      </c>
      <c r="E1063" s="1">
        <v>37686</v>
      </c>
      <c r="F1063" t="s">
        <v>0</v>
      </c>
      <c r="G1063">
        <v>2</v>
      </c>
      <c r="H1063">
        <v>2003</v>
      </c>
      <c r="I1063" t="s">
        <v>38</v>
      </c>
      <c r="J1063" t="s">
        <v>119</v>
      </c>
      <c r="K1063" t="s">
        <v>36</v>
      </c>
      <c r="L1063" t="s">
        <v>37</v>
      </c>
      <c r="M1063" t="s">
        <v>3</v>
      </c>
      <c r="N1063" t="s">
        <v>4</v>
      </c>
      <c r="O1063" t="s">
        <v>135</v>
      </c>
      <c r="P1063" t="s">
        <v>5</v>
      </c>
      <c r="Q1063" t="s">
        <v>6</v>
      </c>
      <c r="R1063" t="s">
        <v>366</v>
      </c>
      <c r="S1063" t="s">
        <v>8</v>
      </c>
      <c r="T1063" t="s">
        <v>331</v>
      </c>
      <c r="U1063">
        <f>Sales_Order[[#This Row],[Quantity ordered]]*Sales_Order[[#This Row],[Price each]]</f>
        <v>4600</v>
      </c>
    </row>
    <row r="1064" spans="1:21" x14ac:dyDescent="0.3">
      <c r="A1064">
        <v>10195</v>
      </c>
      <c r="B1064">
        <v>49</v>
      </c>
      <c r="C1064">
        <v>100</v>
      </c>
      <c r="D1064">
        <v>4</v>
      </c>
      <c r="E1064" s="1">
        <v>37950</v>
      </c>
      <c r="F1064" t="s">
        <v>0</v>
      </c>
      <c r="G1064">
        <v>4</v>
      </c>
      <c r="H1064">
        <v>2003</v>
      </c>
      <c r="I1064" t="s">
        <v>38</v>
      </c>
      <c r="J1064" t="s">
        <v>119</v>
      </c>
      <c r="K1064" t="s">
        <v>248</v>
      </c>
      <c r="L1064" t="s">
        <v>249</v>
      </c>
      <c r="M1064" t="s">
        <v>250</v>
      </c>
      <c r="N1064" t="s">
        <v>4</v>
      </c>
      <c r="O1064" t="s">
        <v>251</v>
      </c>
      <c r="P1064" t="s">
        <v>5</v>
      </c>
      <c r="Q1064" t="s">
        <v>6</v>
      </c>
      <c r="R1064" t="s">
        <v>356</v>
      </c>
      <c r="S1064" t="s">
        <v>8</v>
      </c>
      <c r="T1064" t="s">
        <v>334</v>
      </c>
      <c r="U1064">
        <f>Sales_Order[[#This Row],[Quantity ordered]]*Sales_Order[[#This Row],[Price each]]</f>
        <v>4900</v>
      </c>
    </row>
    <row r="1065" spans="1:21" x14ac:dyDescent="0.3">
      <c r="A1065">
        <v>10207</v>
      </c>
      <c r="B1065">
        <v>28</v>
      </c>
      <c r="C1065">
        <v>94.92</v>
      </c>
      <c r="D1065">
        <v>5</v>
      </c>
      <c r="E1065" s="1">
        <v>37876</v>
      </c>
      <c r="F1065" t="s">
        <v>0</v>
      </c>
      <c r="G1065">
        <v>4</v>
      </c>
      <c r="H1065">
        <v>2003</v>
      </c>
      <c r="I1065" t="s">
        <v>38</v>
      </c>
      <c r="J1065" t="s">
        <v>119</v>
      </c>
      <c r="K1065" t="s">
        <v>277</v>
      </c>
      <c r="L1065" t="s">
        <v>278</v>
      </c>
      <c r="M1065" t="s">
        <v>265</v>
      </c>
      <c r="N1065" t="s">
        <v>181</v>
      </c>
      <c r="O1065" t="s">
        <v>266</v>
      </c>
      <c r="P1065" t="s">
        <v>5</v>
      </c>
      <c r="Q1065" t="s">
        <v>6</v>
      </c>
      <c r="R1065" t="s">
        <v>364</v>
      </c>
      <c r="S1065" t="s">
        <v>7</v>
      </c>
      <c r="T1065" t="s">
        <v>336</v>
      </c>
      <c r="U1065">
        <f>Sales_Order[[#This Row],[Quantity ordered]]*Sales_Order[[#This Row],[Price each]]</f>
        <v>2657.76</v>
      </c>
    </row>
    <row r="1066" spans="1:21" x14ac:dyDescent="0.3">
      <c r="A1066">
        <v>10271</v>
      </c>
      <c r="B1066">
        <v>34</v>
      </c>
      <c r="C1066">
        <v>98.39</v>
      </c>
      <c r="D1066">
        <v>3</v>
      </c>
      <c r="E1066" s="1">
        <v>38188</v>
      </c>
      <c r="F1066" t="s">
        <v>0</v>
      </c>
      <c r="G1066">
        <v>3</v>
      </c>
      <c r="H1066">
        <v>2004</v>
      </c>
      <c r="I1066" t="s">
        <v>38</v>
      </c>
      <c r="J1066" t="s">
        <v>119</v>
      </c>
      <c r="K1066" t="s">
        <v>225</v>
      </c>
      <c r="L1066" t="s">
        <v>226</v>
      </c>
      <c r="M1066" t="s">
        <v>227</v>
      </c>
      <c r="N1066" t="s">
        <v>161</v>
      </c>
      <c r="O1066" t="s">
        <v>177</v>
      </c>
      <c r="P1066" t="s">
        <v>5</v>
      </c>
      <c r="Q1066" t="s">
        <v>6</v>
      </c>
      <c r="R1066" t="s">
        <v>349</v>
      </c>
      <c r="S1066" t="s">
        <v>8</v>
      </c>
      <c r="T1066" t="s">
        <v>339</v>
      </c>
      <c r="U1066">
        <f>Sales_Order[[#This Row],[Quantity ordered]]*Sales_Order[[#This Row],[Price each]]</f>
        <v>3345.26</v>
      </c>
    </row>
    <row r="1067" spans="1:21" x14ac:dyDescent="0.3">
      <c r="A1067">
        <v>10282</v>
      </c>
      <c r="B1067">
        <v>38</v>
      </c>
      <c r="C1067">
        <v>100</v>
      </c>
      <c r="D1067">
        <v>12</v>
      </c>
      <c r="E1067" s="1">
        <v>38219</v>
      </c>
      <c r="F1067" t="s">
        <v>0</v>
      </c>
      <c r="G1067">
        <v>3</v>
      </c>
      <c r="H1067">
        <v>2004</v>
      </c>
      <c r="I1067" t="s">
        <v>38</v>
      </c>
      <c r="J1067" t="s">
        <v>119</v>
      </c>
      <c r="K1067" t="s">
        <v>225</v>
      </c>
      <c r="L1067" t="s">
        <v>226</v>
      </c>
      <c r="M1067" t="s">
        <v>227</v>
      </c>
      <c r="N1067" t="s">
        <v>161</v>
      </c>
      <c r="O1067" t="s">
        <v>177</v>
      </c>
      <c r="P1067" t="s">
        <v>5</v>
      </c>
      <c r="Q1067" t="s">
        <v>6</v>
      </c>
      <c r="R1067" t="s">
        <v>349</v>
      </c>
      <c r="S1067" t="s">
        <v>8</v>
      </c>
      <c r="T1067" t="s">
        <v>322</v>
      </c>
      <c r="U1067">
        <f>Sales_Order[[#This Row],[Quantity ordered]]*Sales_Order[[#This Row],[Price each]]</f>
        <v>3800</v>
      </c>
    </row>
    <row r="1068" spans="1:21" x14ac:dyDescent="0.3">
      <c r="A1068">
        <v>10292</v>
      </c>
      <c r="B1068">
        <v>41</v>
      </c>
      <c r="C1068">
        <v>100</v>
      </c>
      <c r="D1068">
        <v>6</v>
      </c>
      <c r="E1068" s="1">
        <v>38208</v>
      </c>
      <c r="F1068" t="s">
        <v>0</v>
      </c>
      <c r="G1068">
        <v>3</v>
      </c>
      <c r="H1068">
        <v>2004</v>
      </c>
      <c r="I1068" t="s">
        <v>38</v>
      </c>
      <c r="J1068" t="s">
        <v>119</v>
      </c>
      <c r="K1068" t="s">
        <v>155</v>
      </c>
      <c r="L1068" t="s">
        <v>156</v>
      </c>
      <c r="M1068" t="s">
        <v>3</v>
      </c>
      <c r="N1068" t="s">
        <v>4</v>
      </c>
      <c r="O1068" t="s">
        <v>135</v>
      </c>
      <c r="P1068" t="s">
        <v>5</v>
      </c>
      <c r="Q1068" t="s">
        <v>6</v>
      </c>
      <c r="R1068" t="s">
        <v>319</v>
      </c>
      <c r="S1068" t="s">
        <v>8</v>
      </c>
      <c r="T1068" t="s">
        <v>361</v>
      </c>
      <c r="U1068">
        <f>Sales_Order[[#This Row],[Quantity ordered]]*Sales_Order[[#This Row],[Price each]]</f>
        <v>4100</v>
      </c>
    </row>
    <row r="1069" spans="1:21" x14ac:dyDescent="0.3">
      <c r="A1069">
        <v>10305</v>
      </c>
      <c r="B1069">
        <v>42</v>
      </c>
      <c r="C1069">
        <v>100</v>
      </c>
      <c r="D1069">
        <v>3</v>
      </c>
      <c r="E1069" s="1">
        <v>38273</v>
      </c>
      <c r="F1069" t="s">
        <v>0</v>
      </c>
      <c r="G1069">
        <v>4</v>
      </c>
      <c r="H1069">
        <v>2004</v>
      </c>
      <c r="I1069" t="s">
        <v>38</v>
      </c>
      <c r="J1069" t="s">
        <v>119</v>
      </c>
      <c r="K1069" t="s">
        <v>178</v>
      </c>
      <c r="L1069" t="s">
        <v>179</v>
      </c>
      <c r="M1069" t="s">
        <v>180</v>
      </c>
      <c r="N1069" t="s">
        <v>181</v>
      </c>
      <c r="O1069" t="s">
        <v>182</v>
      </c>
      <c r="P1069" t="s">
        <v>5</v>
      </c>
      <c r="Q1069" t="s">
        <v>6</v>
      </c>
      <c r="R1069" t="s">
        <v>332</v>
      </c>
      <c r="S1069" t="s">
        <v>8</v>
      </c>
      <c r="T1069" t="s">
        <v>324</v>
      </c>
      <c r="U1069">
        <f>Sales_Order[[#This Row],[Quantity ordered]]*Sales_Order[[#This Row],[Price each]]</f>
        <v>4200</v>
      </c>
    </row>
    <row r="1070" spans="1:21" x14ac:dyDescent="0.3">
      <c r="A1070">
        <v>10371</v>
      </c>
      <c r="B1070">
        <v>48</v>
      </c>
      <c r="C1070">
        <v>56.55</v>
      </c>
      <c r="D1070">
        <v>10</v>
      </c>
      <c r="E1070" s="1">
        <v>38375</v>
      </c>
      <c r="F1070" t="s">
        <v>0</v>
      </c>
      <c r="G1070">
        <v>1</v>
      </c>
      <c r="H1070">
        <v>2005</v>
      </c>
      <c r="I1070" t="s">
        <v>38</v>
      </c>
      <c r="J1070" t="s">
        <v>119</v>
      </c>
      <c r="K1070" t="s">
        <v>225</v>
      </c>
      <c r="L1070" t="s">
        <v>226</v>
      </c>
      <c r="M1070" t="s">
        <v>227</v>
      </c>
      <c r="N1070" t="s">
        <v>161</v>
      </c>
      <c r="O1070" t="s">
        <v>177</v>
      </c>
      <c r="P1070" t="s">
        <v>5</v>
      </c>
      <c r="Q1070" t="s">
        <v>6</v>
      </c>
      <c r="R1070" t="s">
        <v>349</v>
      </c>
      <c r="S1070" t="s">
        <v>7</v>
      </c>
      <c r="T1070" t="s">
        <v>345</v>
      </c>
      <c r="U1070">
        <f>Sales_Order[[#This Row],[Quantity ordered]]*Sales_Order[[#This Row],[Price each]]</f>
        <v>2714.3999999999996</v>
      </c>
    </row>
    <row r="1071" spans="1:21" x14ac:dyDescent="0.3">
      <c r="A1071">
        <v>10127</v>
      </c>
      <c r="B1071">
        <v>46</v>
      </c>
      <c r="C1071">
        <v>69.12</v>
      </c>
      <c r="D1071">
        <v>4</v>
      </c>
      <c r="E1071" s="1">
        <v>37686</v>
      </c>
      <c r="F1071" t="s">
        <v>0</v>
      </c>
      <c r="G1071">
        <v>2</v>
      </c>
      <c r="H1071">
        <v>2003</v>
      </c>
      <c r="I1071" t="s">
        <v>71</v>
      </c>
      <c r="J1071" t="s">
        <v>120</v>
      </c>
      <c r="K1071" t="s">
        <v>36</v>
      </c>
      <c r="L1071" t="s">
        <v>37</v>
      </c>
      <c r="M1071" t="s">
        <v>3</v>
      </c>
      <c r="N1071" t="s">
        <v>4</v>
      </c>
      <c r="O1071" t="s">
        <v>135</v>
      </c>
      <c r="P1071" t="s">
        <v>5</v>
      </c>
      <c r="Q1071" t="s">
        <v>6</v>
      </c>
      <c r="R1071" t="s">
        <v>366</v>
      </c>
      <c r="S1071" t="s">
        <v>8</v>
      </c>
      <c r="T1071" t="s">
        <v>331</v>
      </c>
      <c r="U1071">
        <f>Sales_Order[[#This Row],[Quantity ordered]]*Sales_Order[[#This Row],[Price each]]</f>
        <v>3179.5200000000004</v>
      </c>
    </row>
    <row r="1072" spans="1:21" x14ac:dyDescent="0.3">
      <c r="A1072">
        <v>10142</v>
      </c>
      <c r="B1072">
        <v>42</v>
      </c>
      <c r="C1072">
        <v>49.79</v>
      </c>
      <c r="D1072">
        <v>14</v>
      </c>
      <c r="E1072" s="1">
        <v>37841</v>
      </c>
      <c r="F1072" t="s">
        <v>0</v>
      </c>
      <c r="G1072">
        <v>3</v>
      </c>
      <c r="H1072">
        <v>2003</v>
      </c>
      <c r="I1072" t="s">
        <v>71</v>
      </c>
      <c r="J1072" t="s">
        <v>120</v>
      </c>
      <c r="K1072" t="s">
        <v>225</v>
      </c>
      <c r="L1072" t="s">
        <v>226</v>
      </c>
      <c r="M1072" t="s">
        <v>227</v>
      </c>
      <c r="N1072" t="s">
        <v>161</v>
      </c>
      <c r="O1072" t="s">
        <v>177</v>
      </c>
      <c r="P1072" t="s">
        <v>5</v>
      </c>
      <c r="Q1072" t="s">
        <v>6</v>
      </c>
      <c r="R1072" t="s">
        <v>349</v>
      </c>
      <c r="S1072" t="s">
        <v>7</v>
      </c>
      <c r="T1072" t="s">
        <v>322</v>
      </c>
      <c r="U1072">
        <f>Sales_Order[[#This Row],[Quantity ordered]]*Sales_Order[[#This Row],[Price each]]</f>
        <v>2091.1799999999998</v>
      </c>
    </row>
    <row r="1073" spans="1:21" x14ac:dyDescent="0.3">
      <c r="A1073">
        <v>10185</v>
      </c>
      <c r="B1073">
        <v>20</v>
      </c>
      <c r="C1073">
        <v>48.62</v>
      </c>
      <c r="D1073">
        <v>15</v>
      </c>
      <c r="E1073" s="1">
        <v>37939</v>
      </c>
      <c r="F1073" t="s">
        <v>0</v>
      </c>
      <c r="G1073">
        <v>4</v>
      </c>
      <c r="H1073">
        <v>2003</v>
      </c>
      <c r="I1073" t="s">
        <v>71</v>
      </c>
      <c r="J1073" t="s">
        <v>120</v>
      </c>
      <c r="K1073" t="s">
        <v>252</v>
      </c>
      <c r="L1073" t="s">
        <v>253</v>
      </c>
      <c r="M1073" t="s">
        <v>191</v>
      </c>
      <c r="N1073" t="s">
        <v>181</v>
      </c>
      <c r="O1073" t="s">
        <v>192</v>
      </c>
      <c r="P1073" t="s">
        <v>5</v>
      </c>
      <c r="Q1073" t="s">
        <v>6</v>
      </c>
      <c r="R1073" t="s">
        <v>357</v>
      </c>
      <c r="S1073" t="s">
        <v>7</v>
      </c>
      <c r="T1073" t="s">
        <v>334</v>
      </c>
      <c r="U1073">
        <f>Sales_Order[[#This Row],[Quantity ordered]]*Sales_Order[[#This Row],[Price each]]</f>
        <v>972.4</v>
      </c>
    </row>
    <row r="1074" spans="1:21" x14ac:dyDescent="0.3">
      <c r="A1074">
        <v>10196</v>
      </c>
      <c r="B1074">
        <v>46</v>
      </c>
      <c r="C1074">
        <v>62.09</v>
      </c>
      <c r="D1074">
        <v>7</v>
      </c>
      <c r="E1074" s="1">
        <v>37951</v>
      </c>
      <c r="F1074" t="s">
        <v>0</v>
      </c>
      <c r="G1074">
        <v>4</v>
      </c>
      <c r="H1074">
        <v>2003</v>
      </c>
      <c r="I1074" t="s">
        <v>71</v>
      </c>
      <c r="J1074" t="s">
        <v>120</v>
      </c>
      <c r="K1074" t="s">
        <v>216</v>
      </c>
      <c r="L1074" t="s">
        <v>217</v>
      </c>
      <c r="M1074" t="s">
        <v>218</v>
      </c>
      <c r="N1074" t="s">
        <v>176</v>
      </c>
      <c r="O1074" t="s">
        <v>219</v>
      </c>
      <c r="P1074" t="s">
        <v>5</v>
      </c>
      <c r="Q1074" t="s">
        <v>6</v>
      </c>
      <c r="R1074" t="s">
        <v>347</v>
      </c>
      <c r="S1074" t="s">
        <v>7</v>
      </c>
      <c r="T1074" t="s">
        <v>334</v>
      </c>
      <c r="U1074">
        <f>Sales_Order[[#This Row],[Quantity ordered]]*Sales_Order[[#This Row],[Price each]]</f>
        <v>2856.1400000000003</v>
      </c>
    </row>
    <row r="1075" spans="1:21" x14ac:dyDescent="0.3">
      <c r="A1075">
        <v>10272</v>
      </c>
      <c r="B1075">
        <v>43</v>
      </c>
      <c r="C1075">
        <v>56.82</v>
      </c>
      <c r="D1075">
        <v>4</v>
      </c>
      <c r="E1075" s="1">
        <v>38188</v>
      </c>
      <c r="F1075" t="s">
        <v>0</v>
      </c>
      <c r="G1075">
        <v>3</v>
      </c>
      <c r="H1075">
        <v>2004</v>
      </c>
      <c r="I1075" t="s">
        <v>71</v>
      </c>
      <c r="J1075" t="s">
        <v>120</v>
      </c>
      <c r="K1075" t="s">
        <v>183</v>
      </c>
      <c r="L1075" t="s">
        <v>184</v>
      </c>
      <c r="M1075" t="s">
        <v>185</v>
      </c>
      <c r="N1075" t="s">
        <v>186</v>
      </c>
      <c r="O1075" t="s">
        <v>187</v>
      </c>
      <c r="P1075" t="s">
        <v>5</v>
      </c>
      <c r="Q1075" t="s">
        <v>6</v>
      </c>
      <c r="R1075" t="s">
        <v>333</v>
      </c>
      <c r="S1075" t="s">
        <v>7</v>
      </c>
      <c r="T1075" t="s">
        <v>339</v>
      </c>
      <c r="U1075">
        <f>Sales_Order[[#This Row],[Quantity ordered]]*Sales_Order[[#This Row],[Price each]]</f>
        <v>2443.2600000000002</v>
      </c>
    </row>
    <row r="1076" spans="1:21" x14ac:dyDescent="0.3">
      <c r="A1076">
        <v>10282</v>
      </c>
      <c r="B1076">
        <v>37</v>
      </c>
      <c r="C1076">
        <v>66.78</v>
      </c>
      <c r="D1076">
        <v>7</v>
      </c>
      <c r="E1076" s="1">
        <v>38219</v>
      </c>
      <c r="F1076" t="s">
        <v>0</v>
      </c>
      <c r="G1076">
        <v>3</v>
      </c>
      <c r="H1076">
        <v>2004</v>
      </c>
      <c r="I1076" t="s">
        <v>71</v>
      </c>
      <c r="J1076" t="s">
        <v>120</v>
      </c>
      <c r="K1076" t="s">
        <v>225</v>
      </c>
      <c r="L1076" t="s">
        <v>226</v>
      </c>
      <c r="M1076" t="s">
        <v>227</v>
      </c>
      <c r="N1076" t="s">
        <v>161</v>
      </c>
      <c r="O1076" t="s">
        <v>177</v>
      </c>
      <c r="P1076" t="s">
        <v>5</v>
      </c>
      <c r="Q1076" t="s">
        <v>6</v>
      </c>
      <c r="R1076" t="s">
        <v>349</v>
      </c>
      <c r="S1076" t="s">
        <v>7</v>
      </c>
      <c r="T1076" t="s">
        <v>322</v>
      </c>
      <c r="U1076">
        <f>Sales_Order[[#This Row],[Quantity ordered]]*Sales_Order[[#This Row],[Price each]]</f>
        <v>2470.86</v>
      </c>
    </row>
    <row r="1077" spans="1:21" x14ac:dyDescent="0.3">
      <c r="A1077">
        <v>10292</v>
      </c>
      <c r="B1077">
        <v>35</v>
      </c>
      <c r="C1077">
        <v>55.07</v>
      </c>
      <c r="D1077">
        <v>1</v>
      </c>
      <c r="E1077" s="1">
        <v>38208</v>
      </c>
      <c r="F1077" t="s">
        <v>0</v>
      </c>
      <c r="G1077">
        <v>3</v>
      </c>
      <c r="H1077">
        <v>2004</v>
      </c>
      <c r="I1077" t="s">
        <v>71</v>
      </c>
      <c r="J1077" t="s">
        <v>120</v>
      </c>
      <c r="K1077" t="s">
        <v>155</v>
      </c>
      <c r="L1077" t="s">
        <v>156</v>
      </c>
      <c r="M1077" t="s">
        <v>3</v>
      </c>
      <c r="N1077" t="s">
        <v>4</v>
      </c>
      <c r="O1077" t="s">
        <v>135</v>
      </c>
      <c r="P1077" t="s">
        <v>5</v>
      </c>
      <c r="Q1077" t="s">
        <v>6</v>
      </c>
      <c r="R1077" t="s">
        <v>319</v>
      </c>
      <c r="S1077" t="s">
        <v>7</v>
      </c>
      <c r="T1077" t="s">
        <v>361</v>
      </c>
      <c r="U1077">
        <f>Sales_Order[[#This Row],[Quantity ordered]]*Sales_Order[[#This Row],[Price each]]</f>
        <v>1927.45</v>
      </c>
    </row>
    <row r="1078" spans="1:21" x14ac:dyDescent="0.3">
      <c r="A1078">
        <v>10337</v>
      </c>
      <c r="B1078">
        <v>21</v>
      </c>
      <c r="C1078">
        <v>100</v>
      </c>
      <c r="D1078">
        <v>6</v>
      </c>
      <c r="E1078" s="1">
        <v>38312</v>
      </c>
      <c r="F1078" t="s">
        <v>0</v>
      </c>
      <c r="G1078">
        <v>4</v>
      </c>
      <c r="H1078">
        <v>2004</v>
      </c>
      <c r="I1078" t="s">
        <v>71</v>
      </c>
      <c r="J1078" t="s">
        <v>120</v>
      </c>
      <c r="K1078" t="s">
        <v>24</v>
      </c>
      <c r="L1078" t="s">
        <v>25</v>
      </c>
      <c r="M1078" t="s">
        <v>3</v>
      </c>
      <c r="N1078" t="s">
        <v>4</v>
      </c>
      <c r="O1078" t="s">
        <v>135</v>
      </c>
      <c r="P1078" t="s">
        <v>5</v>
      </c>
      <c r="Q1078" t="s">
        <v>6</v>
      </c>
      <c r="R1078" t="s">
        <v>340</v>
      </c>
      <c r="S1078" t="s">
        <v>7</v>
      </c>
      <c r="T1078" t="s">
        <v>334</v>
      </c>
      <c r="U1078">
        <f>Sales_Order[[#This Row],[Quantity ordered]]*Sales_Order[[#This Row],[Price each]]</f>
        <v>2100</v>
      </c>
    </row>
    <row r="1079" spans="1:21" x14ac:dyDescent="0.3">
      <c r="A1079">
        <v>10372</v>
      </c>
      <c r="B1079">
        <v>24</v>
      </c>
      <c r="C1079">
        <v>58.58</v>
      </c>
      <c r="D1079">
        <v>9</v>
      </c>
      <c r="E1079" s="1">
        <v>38378</v>
      </c>
      <c r="F1079" t="s">
        <v>0</v>
      </c>
      <c r="G1079">
        <v>1</v>
      </c>
      <c r="H1079">
        <v>2005</v>
      </c>
      <c r="I1079" t="s">
        <v>71</v>
      </c>
      <c r="J1079" t="s">
        <v>120</v>
      </c>
      <c r="K1079" t="s">
        <v>220</v>
      </c>
      <c r="L1079" t="s">
        <v>221</v>
      </c>
      <c r="M1079" t="s">
        <v>222</v>
      </c>
      <c r="N1079" t="s">
        <v>223</v>
      </c>
      <c r="O1079" t="s">
        <v>224</v>
      </c>
      <c r="P1079" t="s">
        <v>195</v>
      </c>
      <c r="Q1079" t="s">
        <v>195</v>
      </c>
      <c r="R1079" t="s">
        <v>348</v>
      </c>
      <c r="S1079" t="s">
        <v>7</v>
      </c>
      <c r="T1079" t="s">
        <v>345</v>
      </c>
      <c r="U1079">
        <f>Sales_Order[[#This Row],[Quantity ordered]]*Sales_Order[[#This Row],[Price each]]</f>
        <v>1405.92</v>
      </c>
    </row>
    <row r="1080" spans="1:21" x14ac:dyDescent="0.3">
      <c r="A1080">
        <v>10413</v>
      </c>
      <c r="B1080">
        <v>51</v>
      </c>
      <c r="C1080">
        <v>63.85</v>
      </c>
      <c r="D1080">
        <v>4</v>
      </c>
      <c r="E1080" s="1">
        <v>38477</v>
      </c>
      <c r="F1080" t="s">
        <v>0</v>
      </c>
      <c r="G1080">
        <v>2</v>
      </c>
      <c r="H1080">
        <v>2005</v>
      </c>
      <c r="I1080" t="s">
        <v>71</v>
      </c>
      <c r="J1080" t="s">
        <v>120</v>
      </c>
      <c r="K1080" t="s">
        <v>173</v>
      </c>
      <c r="L1080" t="s">
        <v>174</v>
      </c>
      <c r="M1080" t="s">
        <v>175</v>
      </c>
      <c r="N1080" t="s">
        <v>176</v>
      </c>
      <c r="O1080" t="s">
        <v>177</v>
      </c>
      <c r="P1080" t="s">
        <v>5</v>
      </c>
      <c r="Q1080" t="s">
        <v>6</v>
      </c>
      <c r="R1080" t="s">
        <v>330</v>
      </c>
      <c r="S1080" t="s">
        <v>8</v>
      </c>
      <c r="T1080" t="s">
        <v>329</v>
      </c>
      <c r="U1080">
        <f>Sales_Order[[#This Row],[Quantity ordered]]*Sales_Order[[#This Row],[Price each]]</f>
        <v>3256.35</v>
      </c>
    </row>
    <row r="1081" spans="1:21" x14ac:dyDescent="0.3">
      <c r="A1081">
        <v>10135</v>
      </c>
      <c r="B1081">
        <v>44</v>
      </c>
      <c r="C1081">
        <v>96</v>
      </c>
      <c r="D1081">
        <v>15</v>
      </c>
      <c r="E1081" s="1">
        <v>37659</v>
      </c>
      <c r="F1081" t="s">
        <v>0</v>
      </c>
      <c r="G1081">
        <v>3</v>
      </c>
      <c r="H1081">
        <v>2003</v>
      </c>
      <c r="I1081" t="s">
        <v>1</v>
      </c>
      <c r="J1081" t="s">
        <v>121</v>
      </c>
      <c r="K1081" t="s">
        <v>225</v>
      </c>
      <c r="L1081" t="s">
        <v>226</v>
      </c>
      <c r="M1081" t="s">
        <v>227</v>
      </c>
      <c r="N1081" t="s">
        <v>161</v>
      </c>
      <c r="O1081" t="s">
        <v>177</v>
      </c>
      <c r="P1081" t="s">
        <v>5</v>
      </c>
      <c r="Q1081" t="s">
        <v>6</v>
      </c>
      <c r="R1081" t="s">
        <v>349</v>
      </c>
      <c r="S1081" t="s">
        <v>8</v>
      </c>
      <c r="T1081" t="s">
        <v>339</v>
      </c>
      <c r="U1081">
        <f>Sales_Order[[#This Row],[Quantity ordered]]*Sales_Order[[#This Row],[Price each]]</f>
        <v>4224</v>
      </c>
    </row>
    <row r="1082" spans="1:21" x14ac:dyDescent="0.3">
      <c r="A1082">
        <v>10145</v>
      </c>
      <c r="B1082">
        <v>38</v>
      </c>
      <c r="C1082">
        <v>81.36</v>
      </c>
      <c r="D1082">
        <v>2</v>
      </c>
      <c r="E1082" s="1">
        <v>37858</v>
      </c>
      <c r="F1082" t="s">
        <v>0</v>
      </c>
      <c r="G1082">
        <v>3</v>
      </c>
      <c r="H1082">
        <v>2003</v>
      </c>
      <c r="I1082" t="s">
        <v>1</v>
      </c>
      <c r="J1082" t="s">
        <v>121</v>
      </c>
      <c r="K1082" t="s">
        <v>158</v>
      </c>
      <c r="L1082" t="s">
        <v>159</v>
      </c>
      <c r="M1082" t="s">
        <v>160</v>
      </c>
      <c r="N1082" t="s">
        <v>161</v>
      </c>
      <c r="O1082" t="s">
        <v>162</v>
      </c>
      <c r="P1082" t="s">
        <v>5</v>
      </c>
      <c r="Q1082" t="s">
        <v>6</v>
      </c>
      <c r="R1082" t="s">
        <v>321</v>
      </c>
      <c r="S1082" t="s">
        <v>8</v>
      </c>
      <c r="T1082" t="s">
        <v>322</v>
      </c>
      <c r="U1082">
        <f>Sales_Order[[#This Row],[Quantity ordered]]*Sales_Order[[#This Row],[Price each]]</f>
        <v>3091.68</v>
      </c>
    </row>
    <row r="1083" spans="1:21" x14ac:dyDescent="0.3">
      <c r="A1083">
        <v>10169</v>
      </c>
      <c r="B1083">
        <v>48</v>
      </c>
      <c r="C1083">
        <v>80.55</v>
      </c>
      <c r="D1083">
        <v>10</v>
      </c>
      <c r="E1083" s="1">
        <v>37722</v>
      </c>
      <c r="F1083" t="s">
        <v>0</v>
      </c>
      <c r="G1083">
        <v>4</v>
      </c>
      <c r="H1083">
        <v>2003</v>
      </c>
      <c r="I1083" t="s">
        <v>1</v>
      </c>
      <c r="J1083" t="s">
        <v>121</v>
      </c>
      <c r="K1083" t="s">
        <v>26</v>
      </c>
      <c r="L1083" t="s">
        <v>27</v>
      </c>
      <c r="M1083" t="s">
        <v>28</v>
      </c>
      <c r="N1083" t="s">
        <v>21</v>
      </c>
      <c r="O1083" t="s">
        <v>137</v>
      </c>
      <c r="P1083" t="s">
        <v>13</v>
      </c>
      <c r="Q1083" t="s">
        <v>14</v>
      </c>
      <c r="R1083" t="s">
        <v>352</v>
      </c>
      <c r="S1083" t="s">
        <v>8</v>
      </c>
      <c r="T1083" t="s">
        <v>334</v>
      </c>
      <c r="U1083">
        <f>Sales_Order[[#This Row],[Quantity ordered]]*Sales_Order[[#This Row],[Price each]]</f>
        <v>3866.3999999999996</v>
      </c>
    </row>
    <row r="1084" spans="1:21" x14ac:dyDescent="0.3">
      <c r="A1084">
        <v>10237</v>
      </c>
      <c r="B1084">
        <v>20</v>
      </c>
      <c r="C1084">
        <v>68.34</v>
      </c>
      <c r="D1084">
        <v>3</v>
      </c>
      <c r="E1084" s="1">
        <v>38111</v>
      </c>
      <c r="F1084" t="s">
        <v>0</v>
      </c>
      <c r="G1084">
        <v>2</v>
      </c>
      <c r="H1084">
        <v>2004</v>
      </c>
      <c r="I1084" t="s">
        <v>1</v>
      </c>
      <c r="J1084" t="s">
        <v>121</v>
      </c>
      <c r="K1084" t="s">
        <v>15</v>
      </c>
      <c r="L1084" t="s">
        <v>16</v>
      </c>
      <c r="M1084" t="s">
        <v>3</v>
      </c>
      <c r="N1084" t="s">
        <v>4</v>
      </c>
      <c r="O1084" t="s">
        <v>135</v>
      </c>
      <c r="P1084" t="s">
        <v>5</v>
      </c>
      <c r="Q1084" t="s">
        <v>6</v>
      </c>
      <c r="R1084" t="s">
        <v>326</v>
      </c>
      <c r="S1084" t="s">
        <v>7</v>
      </c>
      <c r="T1084" t="s">
        <v>327</v>
      </c>
      <c r="U1084">
        <f>Sales_Order[[#This Row],[Quantity ordered]]*Sales_Order[[#This Row],[Price each]]</f>
        <v>1366.8000000000002</v>
      </c>
    </row>
    <row r="1085" spans="1:21" x14ac:dyDescent="0.3">
      <c r="A1085">
        <v>10264</v>
      </c>
      <c r="B1085">
        <v>47</v>
      </c>
      <c r="C1085">
        <v>89.5</v>
      </c>
      <c r="D1085">
        <v>5</v>
      </c>
      <c r="E1085" s="1">
        <v>38168</v>
      </c>
      <c r="F1085" t="s">
        <v>0</v>
      </c>
      <c r="G1085">
        <v>2</v>
      </c>
      <c r="H1085">
        <v>2004</v>
      </c>
      <c r="I1085" t="s">
        <v>1</v>
      </c>
      <c r="J1085" t="s">
        <v>121</v>
      </c>
      <c r="K1085" t="s">
        <v>263</v>
      </c>
      <c r="L1085" t="s">
        <v>264</v>
      </c>
      <c r="M1085" t="s">
        <v>265</v>
      </c>
      <c r="N1085" t="s">
        <v>181</v>
      </c>
      <c r="O1085" t="s">
        <v>266</v>
      </c>
      <c r="P1085" t="s">
        <v>5</v>
      </c>
      <c r="Q1085" t="s">
        <v>6</v>
      </c>
      <c r="R1085" t="s">
        <v>360</v>
      </c>
      <c r="S1085" t="s">
        <v>8</v>
      </c>
      <c r="T1085" t="s">
        <v>331</v>
      </c>
      <c r="U1085">
        <f>Sales_Order[[#This Row],[Quantity ordered]]*Sales_Order[[#This Row],[Price each]]</f>
        <v>4206.5</v>
      </c>
    </row>
    <row r="1086" spans="1:21" x14ac:dyDescent="0.3">
      <c r="A1086">
        <v>10276</v>
      </c>
      <c r="B1086">
        <v>21</v>
      </c>
      <c r="C1086">
        <v>70.78</v>
      </c>
      <c r="D1086">
        <v>11</v>
      </c>
      <c r="E1086" s="1">
        <v>38025</v>
      </c>
      <c r="F1086" t="s">
        <v>0</v>
      </c>
      <c r="G1086">
        <v>3</v>
      </c>
      <c r="H1086">
        <v>2004</v>
      </c>
      <c r="I1086" t="s">
        <v>1</v>
      </c>
      <c r="J1086" t="s">
        <v>121</v>
      </c>
      <c r="K1086" t="s">
        <v>279</v>
      </c>
      <c r="L1086" t="s">
        <v>280</v>
      </c>
      <c r="M1086" t="s">
        <v>235</v>
      </c>
      <c r="N1086" t="s">
        <v>181</v>
      </c>
      <c r="O1086" t="s">
        <v>236</v>
      </c>
      <c r="P1086" t="s">
        <v>5</v>
      </c>
      <c r="Q1086" t="s">
        <v>6</v>
      </c>
      <c r="R1086" t="s">
        <v>365</v>
      </c>
      <c r="S1086" t="s">
        <v>7</v>
      </c>
      <c r="T1086" t="s">
        <v>322</v>
      </c>
      <c r="U1086">
        <f>Sales_Order[[#This Row],[Quantity ordered]]*Sales_Order[[#This Row],[Price each]]</f>
        <v>1486.38</v>
      </c>
    </row>
    <row r="1087" spans="1:21" x14ac:dyDescent="0.3">
      <c r="A1087">
        <v>10285</v>
      </c>
      <c r="B1087">
        <v>39</v>
      </c>
      <c r="C1087">
        <v>78.92</v>
      </c>
      <c r="D1087">
        <v>2</v>
      </c>
      <c r="E1087" s="1">
        <v>38226</v>
      </c>
      <c r="F1087" t="s">
        <v>0</v>
      </c>
      <c r="G1087">
        <v>3</v>
      </c>
      <c r="H1087">
        <v>2004</v>
      </c>
      <c r="I1087" t="s">
        <v>1</v>
      </c>
      <c r="J1087" t="s">
        <v>121</v>
      </c>
      <c r="K1087" t="s">
        <v>178</v>
      </c>
      <c r="L1087" t="s">
        <v>179</v>
      </c>
      <c r="M1087" t="s">
        <v>180</v>
      </c>
      <c r="N1087" t="s">
        <v>181</v>
      </c>
      <c r="O1087" t="s">
        <v>182</v>
      </c>
      <c r="P1087" t="s">
        <v>5</v>
      </c>
      <c r="Q1087" t="s">
        <v>6</v>
      </c>
      <c r="R1087" t="s">
        <v>332</v>
      </c>
      <c r="S1087" t="s">
        <v>8</v>
      </c>
      <c r="T1087" t="s">
        <v>322</v>
      </c>
      <c r="U1087">
        <f>Sales_Order[[#This Row],[Quantity ordered]]*Sales_Order[[#This Row],[Price each]]</f>
        <v>3077.88</v>
      </c>
    </row>
    <row r="1088" spans="1:21" x14ac:dyDescent="0.3">
      <c r="A1088">
        <v>10319</v>
      </c>
      <c r="B1088">
        <v>45</v>
      </c>
      <c r="C1088">
        <v>77.290000000000006</v>
      </c>
      <c r="D1088">
        <v>6</v>
      </c>
      <c r="E1088" s="1">
        <v>38057</v>
      </c>
      <c r="F1088" t="s">
        <v>0</v>
      </c>
      <c r="G1088">
        <v>4</v>
      </c>
      <c r="H1088">
        <v>2004</v>
      </c>
      <c r="I1088" t="s">
        <v>1</v>
      </c>
      <c r="J1088" t="s">
        <v>121</v>
      </c>
      <c r="K1088" t="s">
        <v>41</v>
      </c>
      <c r="L1088" t="s">
        <v>42</v>
      </c>
      <c r="M1088" t="s">
        <v>3</v>
      </c>
      <c r="N1088" t="s">
        <v>4</v>
      </c>
      <c r="O1088" t="s">
        <v>135</v>
      </c>
      <c r="P1088" t="s">
        <v>5</v>
      </c>
      <c r="Q1088" t="s">
        <v>6</v>
      </c>
      <c r="R1088" t="s">
        <v>367</v>
      </c>
      <c r="S1088" t="s">
        <v>8</v>
      </c>
      <c r="T1088" t="s">
        <v>334</v>
      </c>
      <c r="U1088">
        <f>Sales_Order[[#This Row],[Quantity ordered]]*Sales_Order[[#This Row],[Price each]]</f>
        <v>3478.05</v>
      </c>
    </row>
    <row r="1089" spans="1:21" x14ac:dyDescent="0.3">
      <c r="A1089">
        <v>10331</v>
      </c>
      <c r="B1089">
        <v>20</v>
      </c>
      <c r="C1089">
        <v>100</v>
      </c>
      <c r="D1089">
        <v>5</v>
      </c>
      <c r="E1089" s="1">
        <v>38308</v>
      </c>
      <c r="F1089" t="s">
        <v>0</v>
      </c>
      <c r="G1089">
        <v>4</v>
      </c>
      <c r="H1089">
        <v>2004</v>
      </c>
      <c r="I1089" t="s">
        <v>1</v>
      </c>
      <c r="J1089" t="s">
        <v>121</v>
      </c>
      <c r="K1089" t="s">
        <v>246</v>
      </c>
      <c r="L1089" t="s">
        <v>247</v>
      </c>
      <c r="M1089" t="s">
        <v>203</v>
      </c>
      <c r="N1089" t="s">
        <v>186</v>
      </c>
      <c r="O1089" t="s">
        <v>204</v>
      </c>
      <c r="P1089" t="s">
        <v>5</v>
      </c>
      <c r="Q1089" t="s">
        <v>6</v>
      </c>
      <c r="R1089" t="s">
        <v>355</v>
      </c>
      <c r="S1089" t="s">
        <v>8</v>
      </c>
      <c r="T1089" t="s">
        <v>334</v>
      </c>
      <c r="U1089">
        <f>Sales_Order[[#This Row],[Quantity ordered]]*Sales_Order[[#This Row],[Price each]]</f>
        <v>2000</v>
      </c>
    </row>
    <row r="1090" spans="1:21" x14ac:dyDescent="0.3">
      <c r="A1090">
        <v>10365</v>
      </c>
      <c r="B1090">
        <v>44</v>
      </c>
      <c r="C1090">
        <v>100</v>
      </c>
      <c r="D1090">
        <v>2</v>
      </c>
      <c r="E1090" s="1">
        <v>38534</v>
      </c>
      <c r="F1090" t="s">
        <v>0</v>
      </c>
      <c r="G1090">
        <v>1</v>
      </c>
      <c r="H1090">
        <v>2005</v>
      </c>
      <c r="I1090" t="s">
        <v>1</v>
      </c>
      <c r="J1090" t="s">
        <v>121</v>
      </c>
      <c r="K1090" t="s">
        <v>252</v>
      </c>
      <c r="L1090" t="s">
        <v>253</v>
      </c>
      <c r="M1090" t="s">
        <v>191</v>
      </c>
      <c r="N1090" t="s">
        <v>181</v>
      </c>
      <c r="O1090" t="s">
        <v>192</v>
      </c>
      <c r="P1090" t="s">
        <v>5</v>
      </c>
      <c r="Q1090" t="s">
        <v>6</v>
      </c>
      <c r="R1090" t="s">
        <v>357</v>
      </c>
      <c r="S1090" t="s">
        <v>8</v>
      </c>
      <c r="T1090" t="s">
        <v>345</v>
      </c>
      <c r="U1090">
        <f>Sales_Order[[#This Row],[Quantity ordered]]*Sales_Order[[#This Row],[Price each]]</f>
        <v>4400</v>
      </c>
    </row>
    <row r="1091" spans="1:21" x14ac:dyDescent="0.3">
      <c r="A1091">
        <v>10390</v>
      </c>
      <c r="B1091">
        <v>22</v>
      </c>
      <c r="C1091">
        <v>100</v>
      </c>
      <c r="D1091">
        <v>13</v>
      </c>
      <c r="E1091" s="1">
        <v>38445</v>
      </c>
      <c r="F1091" t="s">
        <v>0</v>
      </c>
      <c r="G1091">
        <v>1</v>
      </c>
      <c r="H1091">
        <v>2005</v>
      </c>
      <c r="I1091" t="s">
        <v>1</v>
      </c>
      <c r="J1091" t="s">
        <v>121</v>
      </c>
      <c r="K1091" t="s">
        <v>225</v>
      </c>
      <c r="L1091" t="s">
        <v>226</v>
      </c>
      <c r="M1091" t="s">
        <v>227</v>
      </c>
      <c r="N1091" t="s">
        <v>161</v>
      </c>
      <c r="O1091" t="s">
        <v>177</v>
      </c>
      <c r="P1091" t="s">
        <v>5</v>
      </c>
      <c r="Q1091" t="s">
        <v>6</v>
      </c>
      <c r="R1091" t="s">
        <v>349</v>
      </c>
      <c r="S1091" t="s">
        <v>8</v>
      </c>
      <c r="T1091" t="s">
        <v>338</v>
      </c>
      <c r="U1091">
        <f>Sales_Order[[#This Row],[Quantity ordered]]*Sales_Order[[#This Row],[Price each]]</f>
        <v>2200</v>
      </c>
    </row>
    <row r="1092" spans="1:21" x14ac:dyDescent="0.3">
      <c r="A1092">
        <v>10142</v>
      </c>
      <c r="B1092">
        <v>41</v>
      </c>
      <c r="C1092">
        <v>64</v>
      </c>
      <c r="D1092">
        <v>2</v>
      </c>
      <c r="E1092" s="1">
        <v>37841</v>
      </c>
      <c r="F1092" t="s">
        <v>0</v>
      </c>
      <c r="G1092">
        <v>3</v>
      </c>
      <c r="H1092">
        <v>2003</v>
      </c>
      <c r="I1092" t="s">
        <v>68</v>
      </c>
      <c r="J1092" t="s">
        <v>313</v>
      </c>
      <c r="K1092" t="s">
        <v>225</v>
      </c>
      <c r="L1092" t="s">
        <v>226</v>
      </c>
      <c r="M1092" t="s">
        <v>227</v>
      </c>
      <c r="N1092" t="s">
        <v>161</v>
      </c>
      <c r="O1092" t="s">
        <v>177</v>
      </c>
      <c r="P1092" t="s">
        <v>5</v>
      </c>
      <c r="Q1092" t="s">
        <v>6</v>
      </c>
      <c r="R1092" t="s">
        <v>349</v>
      </c>
      <c r="S1092" t="s">
        <v>7</v>
      </c>
      <c r="T1092" t="s">
        <v>322</v>
      </c>
      <c r="U1092">
        <f>Sales_Order[[#This Row],[Quantity ordered]]*Sales_Order[[#This Row],[Price each]]</f>
        <v>2624</v>
      </c>
    </row>
    <row r="1093" spans="1:21" x14ac:dyDescent="0.3">
      <c r="A1093">
        <v>10185</v>
      </c>
      <c r="B1093">
        <v>21</v>
      </c>
      <c r="C1093">
        <v>54</v>
      </c>
      <c r="D1093">
        <v>3</v>
      </c>
      <c r="E1093" s="1">
        <v>37939</v>
      </c>
      <c r="F1093" t="s">
        <v>0</v>
      </c>
      <c r="G1093">
        <v>4</v>
      </c>
      <c r="H1093">
        <v>2003</v>
      </c>
      <c r="I1093" t="s">
        <v>68</v>
      </c>
      <c r="J1093" t="s">
        <v>313</v>
      </c>
      <c r="K1093" t="s">
        <v>252</v>
      </c>
      <c r="L1093" t="s">
        <v>253</v>
      </c>
      <c r="M1093" t="s">
        <v>191</v>
      </c>
      <c r="N1093" t="s">
        <v>181</v>
      </c>
      <c r="O1093" t="s">
        <v>192</v>
      </c>
      <c r="P1093" t="s">
        <v>5</v>
      </c>
      <c r="Q1093" t="s">
        <v>6</v>
      </c>
      <c r="R1093" t="s">
        <v>357</v>
      </c>
      <c r="S1093" t="s">
        <v>7</v>
      </c>
      <c r="T1093" t="s">
        <v>334</v>
      </c>
      <c r="U1093">
        <f>Sales_Order[[#This Row],[Quantity ordered]]*Sales_Order[[#This Row],[Price each]]</f>
        <v>1134</v>
      </c>
    </row>
    <row r="1094" spans="1:21" x14ac:dyDescent="0.3">
      <c r="A1094">
        <v>10222</v>
      </c>
      <c r="B1094">
        <v>31</v>
      </c>
      <c r="C1094">
        <v>62.67</v>
      </c>
      <c r="D1094">
        <v>15</v>
      </c>
      <c r="E1094" s="1">
        <v>38036</v>
      </c>
      <c r="F1094" t="s">
        <v>0</v>
      </c>
      <c r="G1094">
        <v>1</v>
      </c>
      <c r="H1094">
        <v>2004</v>
      </c>
      <c r="I1094" t="s">
        <v>68</v>
      </c>
      <c r="J1094" t="s">
        <v>313</v>
      </c>
      <c r="K1094" t="s">
        <v>255</v>
      </c>
      <c r="L1094" t="s">
        <v>256</v>
      </c>
      <c r="M1094" t="s">
        <v>257</v>
      </c>
      <c r="N1094" t="s">
        <v>161</v>
      </c>
      <c r="O1094" t="s">
        <v>258</v>
      </c>
      <c r="P1094" t="s">
        <v>5</v>
      </c>
      <c r="Q1094" t="s">
        <v>6</v>
      </c>
      <c r="R1094" t="s">
        <v>358</v>
      </c>
      <c r="S1094" t="s">
        <v>7</v>
      </c>
      <c r="T1094" t="s">
        <v>320</v>
      </c>
      <c r="U1094">
        <f>Sales_Order[[#This Row],[Quantity ordered]]*Sales_Order[[#This Row],[Price each]]</f>
        <v>1942.77</v>
      </c>
    </row>
    <row r="1095" spans="1:21" x14ac:dyDescent="0.3">
      <c r="A1095">
        <v>10233</v>
      </c>
      <c r="B1095">
        <v>36</v>
      </c>
      <c r="C1095">
        <v>70.67</v>
      </c>
      <c r="D1095">
        <v>3</v>
      </c>
      <c r="E1095" s="1">
        <v>38075</v>
      </c>
      <c r="F1095" t="s">
        <v>0</v>
      </c>
      <c r="G1095">
        <v>1</v>
      </c>
      <c r="H1095">
        <v>2004</v>
      </c>
      <c r="I1095" t="s">
        <v>68</v>
      </c>
      <c r="J1095" t="s">
        <v>313</v>
      </c>
      <c r="K1095" t="s">
        <v>168</v>
      </c>
      <c r="L1095" t="s">
        <v>169</v>
      </c>
      <c r="M1095" t="s">
        <v>170</v>
      </c>
      <c r="N1095" t="s">
        <v>171</v>
      </c>
      <c r="O1095" t="s">
        <v>172</v>
      </c>
      <c r="P1095" t="s">
        <v>5</v>
      </c>
      <c r="Q1095" t="s">
        <v>6</v>
      </c>
      <c r="R1095" t="s">
        <v>328</v>
      </c>
      <c r="S1095" t="s">
        <v>7</v>
      </c>
      <c r="T1095" t="s">
        <v>338</v>
      </c>
      <c r="U1095">
        <f>Sales_Order[[#This Row],[Quantity ordered]]*Sales_Order[[#This Row],[Price each]]</f>
        <v>2544.12</v>
      </c>
    </row>
    <row r="1096" spans="1:21" x14ac:dyDescent="0.3">
      <c r="A1096">
        <v>10248</v>
      </c>
      <c r="B1096">
        <v>36</v>
      </c>
      <c r="C1096">
        <v>71.34</v>
      </c>
      <c r="D1096">
        <v>6</v>
      </c>
      <c r="E1096" s="1">
        <v>38173</v>
      </c>
      <c r="F1096" t="s">
        <v>254</v>
      </c>
      <c r="G1096">
        <v>2</v>
      </c>
      <c r="H1096">
        <v>2004</v>
      </c>
      <c r="I1096" t="s">
        <v>68</v>
      </c>
      <c r="J1096" t="s">
        <v>313</v>
      </c>
      <c r="K1096" t="s">
        <v>155</v>
      </c>
      <c r="L1096" t="s">
        <v>156</v>
      </c>
      <c r="M1096" t="s">
        <v>3</v>
      </c>
      <c r="N1096" t="s">
        <v>4</v>
      </c>
      <c r="O1096" t="s">
        <v>135</v>
      </c>
      <c r="P1096" t="s">
        <v>5</v>
      </c>
      <c r="Q1096" t="s">
        <v>6</v>
      </c>
      <c r="R1096" t="s">
        <v>319</v>
      </c>
      <c r="S1096" t="s">
        <v>7</v>
      </c>
      <c r="T1096" t="s">
        <v>329</v>
      </c>
      <c r="U1096">
        <f>Sales_Order[[#This Row],[Quantity ordered]]*Sales_Order[[#This Row],[Price each]]</f>
        <v>2568.2400000000002</v>
      </c>
    </row>
    <row r="1097" spans="1:21" x14ac:dyDescent="0.3">
      <c r="A1097">
        <v>10261</v>
      </c>
      <c r="B1097">
        <v>34</v>
      </c>
      <c r="C1097">
        <v>62</v>
      </c>
      <c r="D1097">
        <v>4</v>
      </c>
      <c r="E1097" s="1">
        <v>38155</v>
      </c>
      <c r="F1097" t="s">
        <v>0</v>
      </c>
      <c r="G1097">
        <v>2</v>
      </c>
      <c r="H1097">
        <v>2004</v>
      </c>
      <c r="I1097" t="s">
        <v>68</v>
      </c>
      <c r="J1097" t="s">
        <v>313</v>
      </c>
      <c r="K1097" t="s">
        <v>237</v>
      </c>
      <c r="L1097" t="s">
        <v>238</v>
      </c>
      <c r="M1097" t="s">
        <v>239</v>
      </c>
      <c r="N1097" t="s">
        <v>240</v>
      </c>
      <c r="O1097" t="s">
        <v>241</v>
      </c>
      <c r="P1097" t="s">
        <v>210</v>
      </c>
      <c r="Q1097" t="s">
        <v>6</v>
      </c>
      <c r="R1097" t="s">
        <v>353</v>
      </c>
      <c r="S1097" t="s">
        <v>7</v>
      </c>
      <c r="T1097" t="s">
        <v>331</v>
      </c>
      <c r="U1097">
        <f>Sales_Order[[#This Row],[Quantity ordered]]*Sales_Order[[#This Row],[Price each]]</f>
        <v>2108</v>
      </c>
    </row>
    <row r="1098" spans="1:21" x14ac:dyDescent="0.3">
      <c r="A1098">
        <v>10283</v>
      </c>
      <c r="B1098">
        <v>45</v>
      </c>
      <c r="C1098">
        <v>78.67</v>
      </c>
      <c r="D1098">
        <v>9</v>
      </c>
      <c r="E1098" s="1">
        <v>38219</v>
      </c>
      <c r="F1098" t="s">
        <v>0</v>
      </c>
      <c r="G1098">
        <v>3</v>
      </c>
      <c r="H1098">
        <v>2004</v>
      </c>
      <c r="I1098" t="s">
        <v>68</v>
      </c>
      <c r="J1098" t="s">
        <v>313</v>
      </c>
      <c r="K1098" t="s">
        <v>259</v>
      </c>
      <c r="L1098" t="s">
        <v>260</v>
      </c>
      <c r="M1098" t="s">
        <v>261</v>
      </c>
      <c r="N1098" t="s">
        <v>208</v>
      </c>
      <c r="O1098" t="s">
        <v>262</v>
      </c>
      <c r="P1098" t="s">
        <v>210</v>
      </c>
      <c r="Q1098" t="s">
        <v>6</v>
      </c>
      <c r="R1098" t="s">
        <v>359</v>
      </c>
      <c r="S1098" t="s">
        <v>8</v>
      </c>
      <c r="T1098" t="s">
        <v>322</v>
      </c>
      <c r="U1098">
        <f>Sales_Order[[#This Row],[Quantity ordered]]*Sales_Order[[#This Row],[Price each]]</f>
        <v>3540.15</v>
      </c>
    </row>
    <row r="1099" spans="1:21" x14ac:dyDescent="0.3">
      <c r="A1099">
        <v>10295</v>
      </c>
      <c r="B1099">
        <v>26</v>
      </c>
      <c r="C1099">
        <v>75.34</v>
      </c>
      <c r="D1099">
        <v>4</v>
      </c>
      <c r="E1099" s="1">
        <v>38269</v>
      </c>
      <c r="F1099" t="s">
        <v>0</v>
      </c>
      <c r="G1099">
        <v>3</v>
      </c>
      <c r="H1099">
        <v>2004</v>
      </c>
      <c r="I1099" t="s">
        <v>68</v>
      </c>
      <c r="J1099" t="s">
        <v>313</v>
      </c>
      <c r="K1099" t="s">
        <v>263</v>
      </c>
      <c r="L1099" t="s">
        <v>264</v>
      </c>
      <c r="M1099" t="s">
        <v>265</v>
      </c>
      <c r="N1099" t="s">
        <v>181</v>
      </c>
      <c r="O1099" t="s">
        <v>266</v>
      </c>
      <c r="P1099" t="s">
        <v>5</v>
      </c>
      <c r="Q1099" t="s">
        <v>6</v>
      </c>
      <c r="R1099" t="s">
        <v>360</v>
      </c>
      <c r="S1099" t="s">
        <v>7</v>
      </c>
      <c r="T1099" t="s">
        <v>361</v>
      </c>
      <c r="U1099">
        <f>Sales_Order[[#This Row],[Quantity ordered]]*Sales_Order[[#This Row],[Price each]]</f>
        <v>1958.8400000000001</v>
      </c>
    </row>
    <row r="1100" spans="1:21" x14ac:dyDescent="0.3">
      <c r="A1100">
        <v>10339</v>
      </c>
      <c r="B1100">
        <v>22</v>
      </c>
      <c r="C1100">
        <v>100</v>
      </c>
      <c r="D1100">
        <v>5</v>
      </c>
      <c r="E1100" s="1">
        <v>38314</v>
      </c>
      <c r="F1100" t="s">
        <v>0</v>
      </c>
      <c r="G1100">
        <v>4</v>
      </c>
      <c r="H1100">
        <v>2004</v>
      </c>
      <c r="I1100" t="s">
        <v>68</v>
      </c>
      <c r="J1100" t="s">
        <v>313</v>
      </c>
      <c r="K1100" t="s">
        <v>220</v>
      </c>
      <c r="L1100" t="s">
        <v>221</v>
      </c>
      <c r="M1100" t="s">
        <v>222</v>
      </c>
      <c r="N1100" t="s">
        <v>223</v>
      </c>
      <c r="O1100" t="s">
        <v>224</v>
      </c>
      <c r="P1100" t="s">
        <v>195</v>
      </c>
      <c r="Q1100" t="s">
        <v>195</v>
      </c>
      <c r="R1100" t="s">
        <v>348</v>
      </c>
      <c r="S1100" t="s">
        <v>7</v>
      </c>
      <c r="T1100" t="s">
        <v>334</v>
      </c>
      <c r="U1100">
        <f>Sales_Order[[#This Row],[Quantity ordered]]*Sales_Order[[#This Row],[Price each]]</f>
        <v>2200</v>
      </c>
    </row>
    <row r="1101" spans="1:21" x14ac:dyDescent="0.3">
      <c r="A1101">
        <v>10385</v>
      </c>
      <c r="B1101">
        <v>25</v>
      </c>
      <c r="C1101">
        <v>77.34</v>
      </c>
      <c r="D1101">
        <v>1</v>
      </c>
      <c r="E1101" s="1">
        <v>38411</v>
      </c>
      <c r="F1101" t="s">
        <v>0</v>
      </c>
      <c r="G1101">
        <v>1</v>
      </c>
      <c r="H1101">
        <v>2005</v>
      </c>
      <c r="I1101" t="s">
        <v>68</v>
      </c>
      <c r="J1101" t="s">
        <v>313</v>
      </c>
      <c r="K1101" t="s">
        <v>225</v>
      </c>
      <c r="L1101" t="s">
        <v>226</v>
      </c>
      <c r="M1101" t="s">
        <v>227</v>
      </c>
      <c r="N1101" t="s">
        <v>161</v>
      </c>
      <c r="O1101" t="s">
        <v>177</v>
      </c>
      <c r="P1101" t="s">
        <v>5</v>
      </c>
      <c r="Q1101" t="s">
        <v>6</v>
      </c>
      <c r="R1101" t="s">
        <v>349</v>
      </c>
      <c r="S1101" t="s">
        <v>7</v>
      </c>
      <c r="T1101" t="s">
        <v>320</v>
      </c>
      <c r="U1101">
        <f>Sales_Order[[#This Row],[Quantity ordered]]*Sales_Order[[#This Row],[Price each]]</f>
        <v>1933.5</v>
      </c>
    </row>
    <row r="1102" spans="1:21" x14ac:dyDescent="0.3">
      <c r="A1102">
        <v>10396</v>
      </c>
      <c r="B1102">
        <v>39</v>
      </c>
      <c r="C1102">
        <v>66.67</v>
      </c>
      <c r="D1102">
        <v>1</v>
      </c>
      <c r="E1102" s="1">
        <v>38434</v>
      </c>
      <c r="F1102" t="s">
        <v>0</v>
      </c>
      <c r="G1102">
        <v>1</v>
      </c>
      <c r="H1102">
        <v>2005</v>
      </c>
      <c r="I1102" t="s">
        <v>68</v>
      </c>
      <c r="J1102" t="s">
        <v>313</v>
      </c>
      <c r="K1102" t="s">
        <v>225</v>
      </c>
      <c r="L1102" t="s">
        <v>226</v>
      </c>
      <c r="M1102" t="s">
        <v>227</v>
      </c>
      <c r="N1102" t="s">
        <v>161</v>
      </c>
      <c r="O1102" t="s">
        <v>177</v>
      </c>
      <c r="P1102" t="s">
        <v>5</v>
      </c>
      <c r="Q1102" t="s">
        <v>6</v>
      </c>
      <c r="R1102" t="s">
        <v>349</v>
      </c>
      <c r="S1102" t="s">
        <v>7</v>
      </c>
      <c r="T1102" t="s">
        <v>338</v>
      </c>
      <c r="U1102">
        <f>Sales_Order[[#This Row],[Quantity ordered]]*Sales_Order[[#This Row],[Price each]]</f>
        <v>2600.13</v>
      </c>
    </row>
    <row r="1103" spans="1:21" x14ac:dyDescent="0.3">
      <c r="A1103">
        <v>10414</v>
      </c>
      <c r="B1103">
        <v>37</v>
      </c>
      <c r="C1103">
        <v>71.34</v>
      </c>
      <c r="D1103">
        <v>6</v>
      </c>
      <c r="E1103" s="1">
        <v>38508</v>
      </c>
      <c r="F1103" t="s">
        <v>275</v>
      </c>
      <c r="G1103">
        <v>2</v>
      </c>
      <c r="H1103">
        <v>2005</v>
      </c>
      <c r="I1103" t="s">
        <v>68</v>
      </c>
      <c r="J1103" t="s">
        <v>313</v>
      </c>
      <c r="K1103" t="s">
        <v>263</v>
      </c>
      <c r="L1103" t="s">
        <v>264</v>
      </c>
      <c r="M1103" t="s">
        <v>265</v>
      </c>
      <c r="N1103" t="s">
        <v>181</v>
      </c>
      <c r="O1103" t="s">
        <v>266</v>
      </c>
      <c r="P1103" t="s">
        <v>5</v>
      </c>
      <c r="Q1103" t="s">
        <v>6</v>
      </c>
      <c r="R1103" t="s">
        <v>360</v>
      </c>
      <c r="S1103" t="s">
        <v>7</v>
      </c>
      <c r="T1103" t="s">
        <v>329</v>
      </c>
      <c r="U1103">
        <f>Sales_Order[[#This Row],[Quantity ordered]]*Sales_Order[[#This Row],[Price each]]</f>
        <v>2639.58</v>
      </c>
    </row>
    <row r="1104" spans="1:21" x14ac:dyDescent="0.3">
      <c r="A1104">
        <v>10120</v>
      </c>
      <c r="B1104">
        <v>47</v>
      </c>
      <c r="C1104">
        <v>82.21</v>
      </c>
      <c r="D1104">
        <v>13</v>
      </c>
      <c r="E1104" s="1">
        <v>37740</v>
      </c>
      <c r="F1104" t="s">
        <v>0</v>
      </c>
      <c r="G1104">
        <v>2</v>
      </c>
      <c r="H1104">
        <v>2003</v>
      </c>
      <c r="I1104" t="s">
        <v>53</v>
      </c>
      <c r="J1104" t="s">
        <v>122</v>
      </c>
      <c r="K1104" t="s">
        <v>9</v>
      </c>
      <c r="L1104" t="s">
        <v>10</v>
      </c>
      <c r="M1104" t="s">
        <v>11</v>
      </c>
      <c r="N1104" t="s">
        <v>12</v>
      </c>
      <c r="O1104" t="s">
        <v>134</v>
      </c>
      <c r="P1104" t="s">
        <v>13</v>
      </c>
      <c r="Q1104" t="s">
        <v>14</v>
      </c>
      <c r="R1104" t="s">
        <v>325</v>
      </c>
      <c r="S1104" t="s">
        <v>8</v>
      </c>
      <c r="T1104" t="s">
        <v>327</v>
      </c>
      <c r="U1104">
        <f>Sales_Order[[#This Row],[Quantity ordered]]*Sales_Order[[#This Row],[Price each]]</f>
        <v>3863.87</v>
      </c>
    </row>
    <row r="1105" spans="1:21" x14ac:dyDescent="0.3">
      <c r="A1105">
        <v>10143</v>
      </c>
      <c r="B1105">
        <v>36</v>
      </c>
      <c r="C1105">
        <v>100</v>
      </c>
      <c r="D1105">
        <v>2</v>
      </c>
      <c r="E1105" s="1">
        <v>37902</v>
      </c>
      <c r="F1105" t="s">
        <v>0</v>
      </c>
      <c r="G1105">
        <v>3</v>
      </c>
      <c r="H1105">
        <v>2003</v>
      </c>
      <c r="I1105" t="s">
        <v>53</v>
      </c>
      <c r="J1105" t="s">
        <v>122</v>
      </c>
      <c r="K1105" t="s">
        <v>252</v>
      </c>
      <c r="L1105" t="s">
        <v>253</v>
      </c>
      <c r="M1105" t="s">
        <v>191</v>
      </c>
      <c r="N1105" t="s">
        <v>181</v>
      </c>
      <c r="O1105" t="s">
        <v>192</v>
      </c>
      <c r="P1105" t="s">
        <v>5</v>
      </c>
      <c r="Q1105" t="s">
        <v>6</v>
      </c>
      <c r="R1105" t="s">
        <v>357</v>
      </c>
      <c r="S1105" t="s">
        <v>8</v>
      </c>
      <c r="T1105" t="s">
        <v>322</v>
      </c>
      <c r="U1105">
        <f>Sales_Order[[#This Row],[Quantity ordered]]*Sales_Order[[#This Row],[Price each]]</f>
        <v>3600</v>
      </c>
    </row>
    <row r="1106" spans="1:21" x14ac:dyDescent="0.3">
      <c r="A1106">
        <v>10168</v>
      </c>
      <c r="B1106">
        <v>28</v>
      </c>
      <c r="C1106">
        <v>98.65</v>
      </c>
      <c r="D1106">
        <v>14</v>
      </c>
      <c r="E1106" s="1">
        <v>37922</v>
      </c>
      <c r="F1106" t="s">
        <v>0</v>
      </c>
      <c r="G1106">
        <v>4</v>
      </c>
      <c r="H1106">
        <v>2003</v>
      </c>
      <c r="I1106" t="s">
        <v>53</v>
      </c>
      <c r="J1106" t="s">
        <v>122</v>
      </c>
      <c r="K1106" t="s">
        <v>163</v>
      </c>
      <c r="L1106" t="s">
        <v>164</v>
      </c>
      <c r="M1106" t="s">
        <v>165</v>
      </c>
      <c r="N1106" t="s">
        <v>161</v>
      </c>
      <c r="O1106" t="s">
        <v>166</v>
      </c>
      <c r="P1106" t="s">
        <v>5</v>
      </c>
      <c r="Q1106" t="s">
        <v>6</v>
      </c>
      <c r="R1106" t="s">
        <v>323</v>
      </c>
      <c r="S1106" t="s">
        <v>7</v>
      </c>
      <c r="T1106" t="s">
        <v>324</v>
      </c>
      <c r="U1106">
        <f>Sales_Order[[#This Row],[Quantity ordered]]*Sales_Order[[#This Row],[Price each]]</f>
        <v>2762.2000000000003</v>
      </c>
    </row>
    <row r="1107" spans="1:21" x14ac:dyDescent="0.3">
      <c r="A1107">
        <v>10199</v>
      </c>
      <c r="B1107">
        <v>48</v>
      </c>
      <c r="C1107">
        <v>83.12</v>
      </c>
      <c r="D1107">
        <v>2</v>
      </c>
      <c r="E1107" s="1">
        <v>37633</v>
      </c>
      <c r="F1107" t="s">
        <v>0</v>
      </c>
      <c r="G1107">
        <v>4</v>
      </c>
      <c r="H1107">
        <v>2003</v>
      </c>
      <c r="I1107" t="s">
        <v>53</v>
      </c>
      <c r="J1107" t="s">
        <v>122</v>
      </c>
      <c r="K1107" t="s">
        <v>211</v>
      </c>
      <c r="L1107" t="s">
        <v>212</v>
      </c>
      <c r="M1107" t="s">
        <v>213</v>
      </c>
      <c r="N1107" t="s">
        <v>161</v>
      </c>
      <c r="O1107" t="s">
        <v>172</v>
      </c>
      <c r="P1107" t="s">
        <v>5</v>
      </c>
      <c r="Q1107" t="s">
        <v>6</v>
      </c>
      <c r="R1107" t="s">
        <v>344</v>
      </c>
      <c r="S1107" t="s">
        <v>8</v>
      </c>
      <c r="T1107" t="s">
        <v>336</v>
      </c>
      <c r="U1107">
        <f>Sales_Order[[#This Row],[Quantity ordered]]*Sales_Order[[#This Row],[Price each]]</f>
        <v>3989.76</v>
      </c>
    </row>
    <row r="1108" spans="1:21" x14ac:dyDescent="0.3">
      <c r="A1108">
        <v>10210</v>
      </c>
      <c r="B1108">
        <v>21</v>
      </c>
      <c r="C1108">
        <v>78.55</v>
      </c>
      <c r="D1108">
        <v>12</v>
      </c>
      <c r="E1108" s="1">
        <v>38322</v>
      </c>
      <c r="F1108" t="s">
        <v>0</v>
      </c>
      <c r="G1108">
        <v>1</v>
      </c>
      <c r="H1108">
        <v>2004</v>
      </c>
      <c r="I1108" t="s">
        <v>53</v>
      </c>
      <c r="J1108" t="s">
        <v>122</v>
      </c>
      <c r="K1108" t="s">
        <v>242</v>
      </c>
      <c r="L1108" t="s">
        <v>243</v>
      </c>
      <c r="M1108" t="s">
        <v>244</v>
      </c>
      <c r="N1108" t="s">
        <v>244</v>
      </c>
      <c r="O1108" t="s">
        <v>245</v>
      </c>
      <c r="P1108" t="s">
        <v>195</v>
      </c>
      <c r="Q1108" t="s">
        <v>195</v>
      </c>
      <c r="R1108" t="s">
        <v>354</v>
      </c>
      <c r="S1108" t="s">
        <v>7</v>
      </c>
      <c r="T1108" t="s">
        <v>345</v>
      </c>
      <c r="U1108">
        <f>Sales_Order[[#This Row],[Quantity ordered]]*Sales_Order[[#This Row],[Price each]]</f>
        <v>1649.55</v>
      </c>
    </row>
    <row r="1109" spans="1:21" x14ac:dyDescent="0.3">
      <c r="A1109">
        <v>10223</v>
      </c>
      <c r="B1109">
        <v>25</v>
      </c>
      <c r="C1109">
        <v>100</v>
      </c>
      <c r="D1109">
        <v>14</v>
      </c>
      <c r="E1109" s="1">
        <v>38037</v>
      </c>
      <c r="F1109" t="s">
        <v>0</v>
      </c>
      <c r="G1109">
        <v>1</v>
      </c>
      <c r="H1109">
        <v>2004</v>
      </c>
      <c r="I1109" t="s">
        <v>53</v>
      </c>
      <c r="J1109" t="s">
        <v>122</v>
      </c>
      <c r="K1109" t="s">
        <v>9</v>
      </c>
      <c r="L1109" t="s">
        <v>10</v>
      </c>
      <c r="M1109" t="s">
        <v>11</v>
      </c>
      <c r="N1109" t="s">
        <v>12</v>
      </c>
      <c r="O1109" t="s">
        <v>134</v>
      </c>
      <c r="P1109" t="s">
        <v>13</v>
      </c>
      <c r="Q1109" t="s">
        <v>14</v>
      </c>
      <c r="R1109" t="s">
        <v>325</v>
      </c>
      <c r="S1109" t="s">
        <v>7</v>
      </c>
      <c r="T1109" t="s">
        <v>320</v>
      </c>
      <c r="U1109">
        <f>Sales_Order[[#This Row],[Quantity ordered]]*Sales_Order[[#This Row],[Price each]]</f>
        <v>2500</v>
      </c>
    </row>
    <row r="1110" spans="1:21" x14ac:dyDescent="0.3">
      <c r="A1110">
        <v>10235</v>
      </c>
      <c r="B1110">
        <v>25</v>
      </c>
      <c r="C1110">
        <v>100</v>
      </c>
      <c r="D1110">
        <v>8</v>
      </c>
      <c r="E1110" s="1">
        <v>38021</v>
      </c>
      <c r="F1110" t="s">
        <v>0</v>
      </c>
      <c r="G1110">
        <v>2</v>
      </c>
      <c r="H1110">
        <v>2004</v>
      </c>
      <c r="I1110" t="s">
        <v>53</v>
      </c>
      <c r="J1110" t="s">
        <v>122</v>
      </c>
      <c r="K1110" t="s">
        <v>259</v>
      </c>
      <c r="L1110" t="s">
        <v>260</v>
      </c>
      <c r="M1110" t="s">
        <v>261</v>
      </c>
      <c r="N1110" t="s">
        <v>208</v>
      </c>
      <c r="O1110" t="s">
        <v>262</v>
      </c>
      <c r="P1110" t="s">
        <v>210</v>
      </c>
      <c r="Q1110" t="s">
        <v>6</v>
      </c>
      <c r="R1110" t="s">
        <v>359</v>
      </c>
      <c r="S1110" t="s">
        <v>7</v>
      </c>
      <c r="T1110" t="s">
        <v>327</v>
      </c>
      <c r="U1110">
        <f>Sales_Order[[#This Row],[Quantity ordered]]*Sales_Order[[#This Row],[Price each]]</f>
        <v>2500</v>
      </c>
    </row>
    <row r="1111" spans="1:21" x14ac:dyDescent="0.3">
      <c r="A1111">
        <v>10250</v>
      </c>
      <c r="B1111">
        <v>31</v>
      </c>
      <c r="C1111">
        <v>91.34</v>
      </c>
      <c r="D1111">
        <v>9</v>
      </c>
      <c r="E1111" s="1">
        <v>38296</v>
      </c>
      <c r="F1111" t="s">
        <v>0</v>
      </c>
      <c r="G1111">
        <v>2</v>
      </c>
      <c r="H1111">
        <v>2004</v>
      </c>
      <c r="I1111" t="s">
        <v>53</v>
      </c>
      <c r="J1111" t="s">
        <v>122</v>
      </c>
      <c r="K1111" t="s">
        <v>272</v>
      </c>
      <c r="L1111" t="s">
        <v>273</v>
      </c>
      <c r="M1111" t="s">
        <v>274</v>
      </c>
      <c r="N1111" t="s">
        <v>161</v>
      </c>
      <c r="O1111" t="s">
        <v>166</v>
      </c>
      <c r="P1111" t="s">
        <v>5</v>
      </c>
      <c r="Q1111" t="s">
        <v>6</v>
      </c>
      <c r="R1111" t="s">
        <v>363</v>
      </c>
      <c r="S1111" t="s">
        <v>7</v>
      </c>
      <c r="T1111" t="s">
        <v>329</v>
      </c>
      <c r="U1111">
        <f>Sales_Order[[#This Row],[Quantity ordered]]*Sales_Order[[#This Row],[Price each]]</f>
        <v>2831.54</v>
      </c>
    </row>
    <row r="1112" spans="1:21" x14ac:dyDescent="0.3">
      <c r="A1112">
        <v>10308</v>
      </c>
      <c r="B1112">
        <v>21</v>
      </c>
      <c r="C1112">
        <v>100</v>
      </c>
      <c r="D1112">
        <v>12</v>
      </c>
      <c r="E1112" s="1">
        <v>38275</v>
      </c>
      <c r="F1112" t="s">
        <v>0</v>
      </c>
      <c r="G1112">
        <v>4</v>
      </c>
      <c r="H1112">
        <v>2004</v>
      </c>
      <c r="I1112" t="s">
        <v>53</v>
      </c>
      <c r="J1112" t="s">
        <v>122</v>
      </c>
      <c r="K1112" t="s">
        <v>248</v>
      </c>
      <c r="L1112" t="s">
        <v>249</v>
      </c>
      <c r="M1112" t="s">
        <v>250</v>
      </c>
      <c r="N1112" t="s">
        <v>4</v>
      </c>
      <c r="O1112" t="s">
        <v>251</v>
      </c>
      <c r="P1112" t="s">
        <v>5</v>
      </c>
      <c r="Q1112" t="s">
        <v>6</v>
      </c>
      <c r="R1112" t="s">
        <v>356</v>
      </c>
      <c r="S1112" t="s">
        <v>7</v>
      </c>
      <c r="T1112" t="s">
        <v>324</v>
      </c>
      <c r="U1112">
        <f>Sales_Order[[#This Row],[Quantity ordered]]*Sales_Order[[#This Row],[Price each]]</f>
        <v>2100</v>
      </c>
    </row>
    <row r="1113" spans="1:21" x14ac:dyDescent="0.3">
      <c r="A1113">
        <v>10316</v>
      </c>
      <c r="B1113">
        <v>34</v>
      </c>
      <c r="C1113">
        <v>82.21</v>
      </c>
      <c r="D1113">
        <v>4</v>
      </c>
      <c r="E1113" s="1">
        <v>37997</v>
      </c>
      <c r="F1113" t="s">
        <v>0</v>
      </c>
      <c r="G1113">
        <v>4</v>
      </c>
      <c r="H1113">
        <v>2004</v>
      </c>
      <c r="I1113" t="s">
        <v>53</v>
      </c>
      <c r="J1113" t="s">
        <v>122</v>
      </c>
      <c r="K1113" t="s">
        <v>267</v>
      </c>
      <c r="L1113" t="s">
        <v>268</v>
      </c>
      <c r="M1113" t="s">
        <v>269</v>
      </c>
      <c r="N1113" t="s">
        <v>270</v>
      </c>
      <c r="O1113" t="s">
        <v>271</v>
      </c>
      <c r="P1113" t="s">
        <v>193</v>
      </c>
      <c r="Q1113" t="s">
        <v>157</v>
      </c>
      <c r="R1113" t="s">
        <v>362</v>
      </c>
      <c r="S1113" t="s">
        <v>7</v>
      </c>
      <c r="T1113" t="s">
        <v>334</v>
      </c>
      <c r="U1113">
        <f>Sales_Order[[#This Row],[Quantity ordered]]*Sales_Order[[#This Row],[Price each]]</f>
        <v>2795.14</v>
      </c>
    </row>
    <row r="1114" spans="1:21" x14ac:dyDescent="0.3">
      <c r="A1114">
        <v>10353</v>
      </c>
      <c r="B1114">
        <v>39</v>
      </c>
      <c r="C1114">
        <v>100</v>
      </c>
      <c r="D1114">
        <v>9</v>
      </c>
      <c r="E1114" s="1">
        <v>38089</v>
      </c>
      <c r="F1114" t="s">
        <v>0</v>
      </c>
      <c r="G1114">
        <v>4</v>
      </c>
      <c r="H1114">
        <v>2004</v>
      </c>
      <c r="I1114" t="s">
        <v>53</v>
      </c>
      <c r="J1114" t="s">
        <v>122</v>
      </c>
      <c r="K1114" t="s">
        <v>301</v>
      </c>
      <c r="L1114" t="s">
        <v>302</v>
      </c>
      <c r="M1114" t="s">
        <v>284</v>
      </c>
      <c r="N1114" t="s">
        <v>176</v>
      </c>
      <c r="O1114" t="s">
        <v>303</v>
      </c>
      <c r="P1114" t="s">
        <v>5</v>
      </c>
      <c r="Q1114" t="s">
        <v>6</v>
      </c>
      <c r="R1114" t="s">
        <v>372</v>
      </c>
      <c r="S1114" t="s">
        <v>8</v>
      </c>
      <c r="T1114" t="s">
        <v>336</v>
      </c>
      <c r="U1114">
        <f>Sales_Order[[#This Row],[Quantity ordered]]*Sales_Order[[#This Row],[Price each]]</f>
        <v>3900</v>
      </c>
    </row>
    <row r="1115" spans="1:21" x14ac:dyDescent="0.3">
      <c r="A1115">
        <v>10361</v>
      </c>
      <c r="B1115">
        <v>20</v>
      </c>
      <c r="C1115">
        <v>60.54</v>
      </c>
      <c r="D1115">
        <v>4</v>
      </c>
      <c r="E1115" s="1">
        <v>38338</v>
      </c>
      <c r="F1115" t="s">
        <v>0</v>
      </c>
      <c r="G1115">
        <v>4</v>
      </c>
      <c r="H1115">
        <v>2004</v>
      </c>
      <c r="I1115" t="s">
        <v>53</v>
      </c>
      <c r="J1115" t="s">
        <v>122</v>
      </c>
      <c r="K1115" t="s">
        <v>18</v>
      </c>
      <c r="L1115" t="s">
        <v>19</v>
      </c>
      <c r="M1115" t="s">
        <v>20</v>
      </c>
      <c r="N1115" t="s">
        <v>21</v>
      </c>
      <c r="O1115" t="s">
        <v>136</v>
      </c>
      <c r="P1115" t="s">
        <v>13</v>
      </c>
      <c r="Q1115" t="s">
        <v>14</v>
      </c>
      <c r="R1115" t="s">
        <v>335</v>
      </c>
      <c r="S1115" t="s">
        <v>7</v>
      </c>
      <c r="T1115" t="s">
        <v>336</v>
      </c>
      <c r="U1115">
        <f>Sales_Order[[#This Row],[Quantity ordered]]*Sales_Order[[#This Row],[Price each]]</f>
        <v>1210.8</v>
      </c>
    </row>
    <row r="1116" spans="1:21" x14ac:dyDescent="0.3">
      <c r="A1116">
        <v>10388</v>
      </c>
      <c r="B1116">
        <v>46</v>
      </c>
      <c r="C1116">
        <v>100</v>
      </c>
      <c r="D1116">
        <v>2</v>
      </c>
      <c r="E1116" s="1">
        <v>38414</v>
      </c>
      <c r="F1116" t="s">
        <v>0</v>
      </c>
      <c r="G1116">
        <v>1</v>
      </c>
      <c r="H1116">
        <v>2005</v>
      </c>
      <c r="I1116" t="s">
        <v>53</v>
      </c>
      <c r="J1116" t="s">
        <v>122</v>
      </c>
      <c r="K1116" t="s">
        <v>189</v>
      </c>
      <c r="L1116" t="s">
        <v>190</v>
      </c>
      <c r="M1116" t="s">
        <v>191</v>
      </c>
      <c r="N1116" t="s">
        <v>181</v>
      </c>
      <c r="O1116" t="s">
        <v>192</v>
      </c>
      <c r="P1116" t="s">
        <v>5</v>
      </c>
      <c r="Q1116" t="s">
        <v>6</v>
      </c>
      <c r="R1116" t="s">
        <v>337</v>
      </c>
      <c r="S1116" t="s">
        <v>17</v>
      </c>
      <c r="T1116" t="s">
        <v>338</v>
      </c>
      <c r="U1116">
        <f>Sales_Order[[#This Row],[Quantity ordered]]*Sales_Order[[#This Row],[Price each]]</f>
        <v>4600</v>
      </c>
    </row>
    <row r="1117" spans="1:21" x14ac:dyDescent="0.3">
      <c r="A1117">
        <v>10401</v>
      </c>
      <c r="B1117">
        <v>11</v>
      </c>
      <c r="C1117">
        <v>100</v>
      </c>
      <c r="D1117">
        <v>8</v>
      </c>
      <c r="E1117" s="1">
        <v>38415</v>
      </c>
      <c r="F1117" t="s">
        <v>275</v>
      </c>
      <c r="G1117">
        <v>2</v>
      </c>
      <c r="H1117">
        <v>2005</v>
      </c>
      <c r="I1117" t="s">
        <v>53</v>
      </c>
      <c r="J1117" t="s">
        <v>122</v>
      </c>
      <c r="K1117" t="s">
        <v>168</v>
      </c>
      <c r="L1117" t="s">
        <v>169</v>
      </c>
      <c r="M1117" t="s">
        <v>170</v>
      </c>
      <c r="N1117" t="s">
        <v>171</v>
      </c>
      <c r="O1117" t="s">
        <v>172</v>
      </c>
      <c r="P1117" t="s">
        <v>5</v>
      </c>
      <c r="Q1117" t="s">
        <v>6</v>
      </c>
      <c r="R1117" t="s">
        <v>328</v>
      </c>
      <c r="S1117" t="s">
        <v>7</v>
      </c>
      <c r="T1117" t="s">
        <v>327</v>
      </c>
      <c r="U1117">
        <f>Sales_Order[[#This Row],[Quantity ordered]]*Sales_Order[[#This Row],[Price each]]</f>
        <v>1100</v>
      </c>
    </row>
    <row r="1118" spans="1:21" x14ac:dyDescent="0.3">
      <c r="A1118">
        <v>10142</v>
      </c>
      <c r="B1118">
        <v>43</v>
      </c>
      <c r="C1118">
        <v>84.01</v>
      </c>
      <c r="D1118">
        <v>9</v>
      </c>
      <c r="E1118" s="1">
        <v>37841</v>
      </c>
      <c r="F1118" t="s">
        <v>0</v>
      </c>
      <c r="G1118">
        <v>3</v>
      </c>
      <c r="H1118">
        <v>2003</v>
      </c>
      <c r="I1118" t="s">
        <v>68</v>
      </c>
      <c r="J1118" t="s">
        <v>123</v>
      </c>
      <c r="K1118" t="s">
        <v>225</v>
      </c>
      <c r="L1118" t="s">
        <v>226</v>
      </c>
      <c r="M1118" t="s">
        <v>227</v>
      </c>
      <c r="N1118" t="s">
        <v>161</v>
      </c>
      <c r="O1118" t="s">
        <v>177</v>
      </c>
      <c r="P1118" t="s">
        <v>5</v>
      </c>
      <c r="Q1118" t="s">
        <v>6</v>
      </c>
      <c r="R1118" t="s">
        <v>349</v>
      </c>
      <c r="S1118" t="s">
        <v>8</v>
      </c>
      <c r="T1118" t="s">
        <v>322</v>
      </c>
      <c r="U1118">
        <f>Sales_Order[[#This Row],[Quantity ordered]]*Sales_Order[[#This Row],[Price each]]</f>
        <v>3612.4300000000003</v>
      </c>
    </row>
    <row r="1119" spans="1:21" x14ac:dyDescent="0.3">
      <c r="A1119">
        <v>10166</v>
      </c>
      <c r="B1119">
        <v>29</v>
      </c>
      <c r="C1119">
        <v>100</v>
      </c>
      <c r="D1119">
        <v>3</v>
      </c>
      <c r="E1119" s="1">
        <v>37915</v>
      </c>
      <c r="F1119" t="s">
        <v>0</v>
      </c>
      <c r="G1119">
        <v>4</v>
      </c>
      <c r="H1119">
        <v>2003</v>
      </c>
      <c r="I1119" t="s">
        <v>68</v>
      </c>
      <c r="J1119" t="s">
        <v>123</v>
      </c>
      <c r="K1119" t="s">
        <v>189</v>
      </c>
      <c r="L1119" t="s">
        <v>190</v>
      </c>
      <c r="M1119" t="s">
        <v>191</v>
      </c>
      <c r="N1119" t="s">
        <v>181</v>
      </c>
      <c r="O1119" t="s">
        <v>192</v>
      </c>
      <c r="P1119" t="s">
        <v>5</v>
      </c>
      <c r="Q1119" t="s">
        <v>6</v>
      </c>
      <c r="R1119" t="s">
        <v>337</v>
      </c>
      <c r="S1119" t="s">
        <v>8</v>
      </c>
      <c r="T1119" t="s">
        <v>324</v>
      </c>
      <c r="U1119">
        <f>Sales_Order[[#This Row],[Quantity ordered]]*Sales_Order[[#This Row],[Price each]]</f>
        <v>2900</v>
      </c>
    </row>
    <row r="1120" spans="1:21" x14ac:dyDescent="0.3">
      <c r="A1120">
        <v>10185</v>
      </c>
      <c r="B1120">
        <v>30</v>
      </c>
      <c r="C1120">
        <v>94.4</v>
      </c>
      <c r="D1120">
        <v>10</v>
      </c>
      <c r="E1120" s="1">
        <v>37939</v>
      </c>
      <c r="F1120" t="s">
        <v>0</v>
      </c>
      <c r="G1120">
        <v>4</v>
      </c>
      <c r="H1120">
        <v>2003</v>
      </c>
      <c r="I1120" t="s">
        <v>68</v>
      </c>
      <c r="J1120" t="s">
        <v>123</v>
      </c>
      <c r="K1120" t="s">
        <v>252</v>
      </c>
      <c r="L1120" t="s">
        <v>253</v>
      </c>
      <c r="M1120" t="s">
        <v>191</v>
      </c>
      <c r="N1120" t="s">
        <v>181</v>
      </c>
      <c r="O1120" t="s">
        <v>192</v>
      </c>
      <c r="P1120" t="s">
        <v>5</v>
      </c>
      <c r="Q1120" t="s">
        <v>6</v>
      </c>
      <c r="R1120" t="s">
        <v>357</v>
      </c>
      <c r="S1120" t="s">
        <v>7</v>
      </c>
      <c r="T1120" t="s">
        <v>334</v>
      </c>
      <c r="U1120">
        <f>Sales_Order[[#This Row],[Quantity ordered]]*Sales_Order[[#This Row],[Price each]]</f>
        <v>2832</v>
      </c>
    </row>
    <row r="1121" spans="1:21" x14ac:dyDescent="0.3">
      <c r="A1121">
        <v>10196</v>
      </c>
      <c r="B1121">
        <v>50</v>
      </c>
      <c r="C1121">
        <v>94.4</v>
      </c>
      <c r="D1121">
        <v>2</v>
      </c>
      <c r="E1121" s="1">
        <v>37951</v>
      </c>
      <c r="F1121" t="s">
        <v>0</v>
      </c>
      <c r="G1121">
        <v>4</v>
      </c>
      <c r="H1121">
        <v>2003</v>
      </c>
      <c r="I1121" t="s">
        <v>68</v>
      </c>
      <c r="J1121" t="s">
        <v>123</v>
      </c>
      <c r="K1121" t="s">
        <v>216</v>
      </c>
      <c r="L1121" t="s">
        <v>217</v>
      </c>
      <c r="M1121" t="s">
        <v>218</v>
      </c>
      <c r="N1121" t="s">
        <v>176</v>
      </c>
      <c r="O1121" t="s">
        <v>219</v>
      </c>
      <c r="P1121" t="s">
        <v>5</v>
      </c>
      <c r="Q1121" t="s">
        <v>6</v>
      </c>
      <c r="R1121" t="s">
        <v>347</v>
      </c>
      <c r="S1121" t="s">
        <v>8</v>
      </c>
      <c r="T1121" t="s">
        <v>334</v>
      </c>
      <c r="U1121">
        <f>Sales_Order[[#This Row],[Quantity ordered]]*Sales_Order[[#This Row],[Price each]]</f>
        <v>4720</v>
      </c>
    </row>
    <row r="1122" spans="1:21" x14ac:dyDescent="0.3">
      <c r="A1122">
        <v>10232</v>
      </c>
      <c r="B1122">
        <v>26</v>
      </c>
      <c r="C1122">
        <v>88.34</v>
      </c>
      <c r="D1122">
        <v>7</v>
      </c>
      <c r="E1122" s="1">
        <v>38066</v>
      </c>
      <c r="F1122" t="s">
        <v>0</v>
      </c>
      <c r="G1122">
        <v>1</v>
      </c>
      <c r="H1122">
        <v>2004</v>
      </c>
      <c r="I1122" t="s">
        <v>68</v>
      </c>
      <c r="J1122" t="s">
        <v>123</v>
      </c>
      <c r="K1122" t="s">
        <v>267</v>
      </c>
      <c r="L1122" t="s">
        <v>268</v>
      </c>
      <c r="M1122" t="s">
        <v>269</v>
      </c>
      <c r="N1122" t="s">
        <v>270</v>
      </c>
      <c r="O1122" t="s">
        <v>271</v>
      </c>
      <c r="P1122" t="s">
        <v>193</v>
      </c>
      <c r="Q1122" t="s">
        <v>157</v>
      </c>
      <c r="R1122" t="s">
        <v>362</v>
      </c>
      <c r="S1122" t="s">
        <v>7</v>
      </c>
      <c r="T1122" t="s">
        <v>338</v>
      </c>
      <c r="U1122">
        <f>Sales_Order[[#This Row],[Quantity ordered]]*Sales_Order[[#This Row],[Price each]]</f>
        <v>2296.84</v>
      </c>
    </row>
    <row r="1123" spans="1:21" x14ac:dyDescent="0.3">
      <c r="A1123">
        <v>10248</v>
      </c>
      <c r="B1123">
        <v>40</v>
      </c>
      <c r="C1123">
        <v>100</v>
      </c>
      <c r="D1123">
        <v>13</v>
      </c>
      <c r="E1123" s="1">
        <v>38173</v>
      </c>
      <c r="F1123" t="s">
        <v>254</v>
      </c>
      <c r="G1123">
        <v>2</v>
      </c>
      <c r="H1123">
        <v>2004</v>
      </c>
      <c r="I1123" t="s">
        <v>68</v>
      </c>
      <c r="J1123" t="s">
        <v>123</v>
      </c>
      <c r="K1123" t="s">
        <v>155</v>
      </c>
      <c r="L1123" t="s">
        <v>156</v>
      </c>
      <c r="M1123" t="s">
        <v>3</v>
      </c>
      <c r="N1123" t="s">
        <v>4</v>
      </c>
      <c r="O1123" t="s">
        <v>135</v>
      </c>
      <c r="P1123" t="s">
        <v>5</v>
      </c>
      <c r="Q1123" t="s">
        <v>6</v>
      </c>
      <c r="R1123" t="s">
        <v>319</v>
      </c>
      <c r="S1123" t="s">
        <v>8</v>
      </c>
      <c r="T1123" t="s">
        <v>329</v>
      </c>
      <c r="U1123">
        <f>Sales_Order[[#This Row],[Quantity ordered]]*Sales_Order[[#This Row],[Price each]]</f>
        <v>4000</v>
      </c>
    </row>
    <row r="1124" spans="1:21" x14ac:dyDescent="0.3">
      <c r="A1124">
        <v>10282</v>
      </c>
      <c r="B1124">
        <v>43</v>
      </c>
      <c r="C1124">
        <v>86.61</v>
      </c>
      <c r="D1124">
        <v>2</v>
      </c>
      <c r="E1124" s="1">
        <v>38219</v>
      </c>
      <c r="F1124" t="s">
        <v>0</v>
      </c>
      <c r="G1124">
        <v>3</v>
      </c>
      <c r="H1124">
        <v>2004</v>
      </c>
      <c r="I1124" t="s">
        <v>68</v>
      </c>
      <c r="J1124" t="s">
        <v>123</v>
      </c>
      <c r="K1124" t="s">
        <v>225</v>
      </c>
      <c r="L1124" t="s">
        <v>226</v>
      </c>
      <c r="M1124" t="s">
        <v>227</v>
      </c>
      <c r="N1124" t="s">
        <v>161</v>
      </c>
      <c r="O1124" t="s">
        <v>177</v>
      </c>
      <c r="P1124" t="s">
        <v>5</v>
      </c>
      <c r="Q1124" t="s">
        <v>6</v>
      </c>
      <c r="R1124" t="s">
        <v>349</v>
      </c>
      <c r="S1124" t="s">
        <v>8</v>
      </c>
      <c r="T1124" t="s">
        <v>322</v>
      </c>
      <c r="U1124">
        <f>Sales_Order[[#This Row],[Quantity ordered]]*Sales_Order[[#This Row],[Price each]]</f>
        <v>3724.23</v>
      </c>
    </row>
    <row r="1125" spans="1:21" x14ac:dyDescent="0.3">
      <c r="A1125">
        <v>10337</v>
      </c>
      <c r="B1125">
        <v>36</v>
      </c>
      <c r="C1125">
        <v>70.3</v>
      </c>
      <c r="D1125">
        <v>9</v>
      </c>
      <c r="E1125" s="1">
        <v>38312</v>
      </c>
      <c r="F1125" t="s">
        <v>0</v>
      </c>
      <c r="G1125">
        <v>4</v>
      </c>
      <c r="H1125">
        <v>2004</v>
      </c>
      <c r="I1125" t="s">
        <v>68</v>
      </c>
      <c r="J1125" t="s">
        <v>123</v>
      </c>
      <c r="K1125" t="s">
        <v>24</v>
      </c>
      <c r="L1125" t="s">
        <v>25</v>
      </c>
      <c r="M1125" t="s">
        <v>3</v>
      </c>
      <c r="N1125" t="s">
        <v>4</v>
      </c>
      <c r="O1125" t="s">
        <v>135</v>
      </c>
      <c r="P1125" t="s">
        <v>5</v>
      </c>
      <c r="Q1125" t="s">
        <v>6</v>
      </c>
      <c r="R1125" t="s">
        <v>340</v>
      </c>
      <c r="S1125" t="s">
        <v>7</v>
      </c>
      <c r="T1125" t="s">
        <v>334</v>
      </c>
      <c r="U1125">
        <f>Sales_Order[[#This Row],[Quantity ordered]]*Sales_Order[[#This Row],[Price each]]</f>
        <v>2530.7999999999997</v>
      </c>
    </row>
    <row r="1126" spans="1:21" x14ac:dyDescent="0.3">
      <c r="A1126">
        <v>10372</v>
      </c>
      <c r="B1126">
        <v>44</v>
      </c>
      <c r="C1126">
        <v>100</v>
      </c>
      <c r="D1126">
        <v>2</v>
      </c>
      <c r="E1126" s="1">
        <v>38378</v>
      </c>
      <c r="F1126" t="s">
        <v>0</v>
      </c>
      <c r="G1126">
        <v>1</v>
      </c>
      <c r="H1126">
        <v>2005</v>
      </c>
      <c r="I1126" t="s">
        <v>68</v>
      </c>
      <c r="J1126" t="s">
        <v>123</v>
      </c>
      <c r="K1126" t="s">
        <v>220</v>
      </c>
      <c r="L1126" t="s">
        <v>221</v>
      </c>
      <c r="M1126" t="s">
        <v>222</v>
      </c>
      <c r="N1126" t="s">
        <v>223</v>
      </c>
      <c r="O1126" t="s">
        <v>224</v>
      </c>
      <c r="P1126" t="s">
        <v>195</v>
      </c>
      <c r="Q1126" t="s">
        <v>195</v>
      </c>
      <c r="R1126" t="s">
        <v>348</v>
      </c>
      <c r="S1126" t="s">
        <v>8</v>
      </c>
      <c r="T1126" t="s">
        <v>345</v>
      </c>
      <c r="U1126">
        <f>Sales_Order[[#This Row],[Quantity ordered]]*Sales_Order[[#This Row],[Price each]]</f>
        <v>4400</v>
      </c>
    </row>
    <row r="1127" spans="1:21" x14ac:dyDescent="0.3">
      <c r="A1127">
        <v>10414</v>
      </c>
      <c r="B1127">
        <v>34</v>
      </c>
      <c r="C1127">
        <v>100</v>
      </c>
      <c r="D1127">
        <v>13</v>
      </c>
      <c r="E1127" s="1">
        <v>38508</v>
      </c>
      <c r="F1127" t="s">
        <v>275</v>
      </c>
      <c r="G1127">
        <v>2</v>
      </c>
      <c r="H1127">
        <v>2005</v>
      </c>
      <c r="I1127" t="s">
        <v>68</v>
      </c>
      <c r="J1127" t="s">
        <v>123</v>
      </c>
      <c r="K1127" t="s">
        <v>263</v>
      </c>
      <c r="L1127" t="s">
        <v>264</v>
      </c>
      <c r="M1127" t="s">
        <v>265</v>
      </c>
      <c r="N1127" t="s">
        <v>181</v>
      </c>
      <c r="O1127" t="s">
        <v>266</v>
      </c>
      <c r="P1127" t="s">
        <v>5</v>
      </c>
      <c r="Q1127" t="s">
        <v>6</v>
      </c>
      <c r="R1127" t="s">
        <v>360</v>
      </c>
      <c r="S1127" t="s">
        <v>8</v>
      </c>
      <c r="T1127" t="s">
        <v>329</v>
      </c>
      <c r="U1127">
        <f>Sales_Order[[#This Row],[Quantity ordered]]*Sales_Order[[#This Row],[Price each]]</f>
        <v>3400</v>
      </c>
    </row>
    <row r="1128" spans="1:21" x14ac:dyDescent="0.3">
      <c r="A1128">
        <v>10131</v>
      </c>
      <c r="B1128">
        <v>22</v>
      </c>
      <c r="C1128">
        <v>85.99</v>
      </c>
      <c r="D1128">
        <v>8</v>
      </c>
      <c r="E1128" s="1">
        <v>37788</v>
      </c>
      <c r="F1128" t="s">
        <v>0</v>
      </c>
      <c r="G1128">
        <v>2</v>
      </c>
      <c r="H1128">
        <v>2003</v>
      </c>
      <c r="I1128" t="s">
        <v>68</v>
      </c>
      <c r="J1128" t="s">
        <v>124</v>
      </c>
      <c r="K1128" t="s">
        <v>301</v>
      </c>
      <c r="L1128" t="s">
        <v>302</v>
      </c>
      <c r="M1128" t="s">
        <v>284</v>
      </c>
      <c r="N1128" t="s">
        <v>176</v>
      </c>
      <c r="O1128" t="s">
        <v>303</v>
      </c>
      <c r="P1128" t="s">
        <v>5</v>
      </c>
      <c r="Q1128" t="s">
        <v>6</v>
      </c>
      <c r="R1128" t="s">
        <v>372</v>
      </c>
      <c r="S1128" t="s">
        <v>7</v>
      </c>
      <c r="T1128" t="s">
        <v>331</v>
      </c>
      <c r="U1128">
        <f>Sales_Order[[#This Row],[Quantity ordered]]*Sales_Order[[#This Row],[Price each]]</f>
        <v>1891.78</v>
      </c>
    </row>
    <row r="1129" spans="1:21" x14ac:dyDescent="0.3">
      <c r="A1129">
        <v>10143</v>
      </c>
      <c r="B1129">
        <v>26</v>
      </c>
      <c r="C1129">
        <v>100</v>
      </c>
      <c r="D1129">
        <v>11</v>
      </c>
      <c r="E1129" s="1">
        <v>37902</v>
      </c>
      <c r="F1129" t="s">
        <v>0</v>
      </c>
      <c r="G1129">
        <v>3</v>
      </c>
      <c r="H1129">
        <v>2003</v>
      </c>
      <c r="I1129" t="s">
        <v>68</v>
      </c>
      <c r="J1129" t="s">
        <v>124</v>
      </c>
      <c r="K1129" t="s">
        <v>252</v>
      </c>
      <c r="L1129" t="s">
        <v>253</v>
      </c>
      <c r="M1129" t="s">
        <v>191</v>
      </c>
      <c r="N1129" t="s">
        <v>181</v>
      </c>
      <c r="O1129" t="s">
        <v>192</v>
      </c>
      <c r="P1129" t="s">
        <v>5</v>
      </c>
      <c r="Q1129" t="s">
        <v>6</v>
      </c>
      <c r="R1129" t="s">
        <v>357</v>
      </c>
      <c r="S1129" t="s">
        <v>7</v>
      </c>
      <c r="T1129" t="s">
        <v>322</v>
      </c>
      <c r="U1129">
        <f>Sales_Order[[#This Row],[Quantity ordered]]*Sales_Order[[#This Row],[Price each]]</f>
        <v>2600</v>
      </c>
    </row>
    <row r="1130" spans="1:21" x14ac:dyDescent="0.3">
      <c r="A1130">
        <v>10222</v>
      </c>
      <c r="B1130">
        <v>26</v>
      </c>
      <c r="C1130">
        <v>100</v>
      </c>
      <c r="D1130">
        <v>8</v>
      </c>
      <c r="E1130" s="1">
        <v>38036</v>
      </c>
      <c r="F1130" t="s">
        <v>0</v>
      </c>
      <c r="G1130">
        <v>1</v>
      </c>
      <c r="H1130">
        <v>2004</v>
      </c>
      <c r="I1130" t="s">
        <v>68</v>
      </c>
      <c r="J1130" t="s">
        <v>124</v>
      </c>
      <c r="K1130" t="s">
        <v>255</v>
      </c>
      <c r="L1130" t="s">
        <v>256</v>
      </c>
      <c r="M1130" t="s">
        <v>257</v>
      </c>
      <c r="N1130" t="s">
        <v>161</v>
      </c>
      <c r="O1130" t="s">
        <v>258</v>
      </c>
      <c r="P1130" t="s">
        <v>5</v>
      </c>
      <c r="Q1130" t="s">
        <v>6</v>
      </c>
      <c r="R1130" t="s">
        <v>358</v>
      </c>
      <c r="S1130" t="s">
        <v>7</v>
      </c>
      <c r="T1130" t="s">
        <v>320</v>
      </c>
      <c r="U1130">
        <f>Sales_Order[[#This Row],[Quantity ordered]]*Sales_Order[[#This Row],[Price each]]</f>
        <v>2600</v>
      </c>
    </row>
    <row r="1131" spans="1:21" x14ac:dyDescent="0.3">
      <c r="A1131">
        <v>10249</v>
      </c>
      <c r="B1131">
        <v>40</v>
      </c>
      <c r="C1131">
        <v>95.95</v>
      </c>
      <c r="D1131">
        <v>4</v>
      </c>
      <c r="E1131" s="1">
        <v>38204</v>
      </c>
      <c r="F1131" t="s">
        <v>0</v>
      </c>
      <c r="G1131">
        <v>2</v>
      </c>
      <c r="H1131">
        <v>2004</v>
      </c>
      <c r="I1131" t="s">
        <v>68</v>
      </c>
      <c r="J1131" t="s">
        <v>124</v>
      </c>
      <c r="K1131" t="s">
        <v>214</v>
      </c>
      <c r="L1131" t="s">
        <v>215</v>
      </c>
      <c r="M1131" t="s">
        <v>180</v>
      </c>
      <c r="N1131" t="s">
        <v>181</v>
      </c>
      <c r="O1131" t="s">
        <v>182</v>
      </c>
      <c r="P1131" t="s">
        <v>5</v>
      </c>
      <c r="Q1131" t="s">
        <v>6</v>
      </c>
      <c r="R1131" t="s">
        <v>346</v>
      </c>
      <c r="S1131" t="s">
        <v>8</v>
      </c>
      <c r="T1131" t="s">
        <v>329</v>
      </c>
      <c r="U1131">
        <f>Sales_Order[[#This Row],[Quantity ordered]]*Sales_Order[[#This Row],[Price each]]</f>
        <v>3838</v>
      </c>
    </row>
    <row r="1132" spans="1:21" x14ac:dyDescent="0.3">
      <c r="A1132">
        <v>10274</v>
      </c>
      <c r="B1132">
        <v>24</v>
      </c>
      <c r="C1132">
        <v>90.52</v>
      </c>
      <c r="D1132">
        <v>5</v>
      </c>
      <c r="E1132" s="1">
        <v>38189</v>
      </c>
      <c r="F1132" t="s">
        <v>0</v>
      </c>
      <c r="G1132">
        <v>3</v>
      </c>
      <c r="H1132">
        <v>2004</v>
      </c>
      <c r="I1132" t="s">
        <v>68</v>
      </c>
      <c r="J1132" t="s">
        <v>124</v>
      </c>
      <c r="K1132" t="s">
        <v>233</v>
      </c>
      <c r="L1132" t="s">
        <v>234</v>
      </c>
      <c r="M1132" t="s">
        <v>235</v>
      </c>
      <c r="N1132" t="s">
        <v>181</v>
      </c>
      <c r="O1132" t="s">
        <v>236</v>
      </c>
      <c r="P1132" t="s">
        <v>5</v>
      </c>
      <c r="Q1132" t="s">
        <v>6</v>
      </c>
      <c r="R1132" t="s">
        <v>351</v>
      </c>
      <c r="S1132" t="s">
        <v>7</v>
      </c>
      <c r="T1132" t="s">
        <v>339</v>
      </c>
      <c r="U1132">
        <f>Sales_Order[[#This Row],[Quantity ordered]]*Sales_Order[[#This Row],[Price each]]</f>
        <v>2172.48</v>
      </c>
    </row>
    <row r="1133" spans="1:21" x14ac:dyDescent="0.3">
      <c r="A1133">
        <v>10283</v>
      </c>
      <c r="B1133">
        <v>20</v>
      </c>
      <c r="C1133">
        <v>94.14</v>
      </c>
      <c r="D1133">
        <v>2</v>
      </c>
      <c r="E1133" s="1">
        <v>38219</v>
      </c>
      <c r="F1133" t="s">
        <v>0</v>
      </c>
      <c r="G1133">
        <v>3</v>
      </c>
      <c r="H1133">
        <v>2004</v>
      </c>
      <c r="I1133" t="s">
        <v>68</v>
      </c>
      <c r="J1133" t="s">
        <v>124</v>
      </c>
      <c r="K1133" t="s">
        <v>259</v>
      </c>
      <c r="L1133" t="s">
        <v>260</v>
      </c>
      <c r="M1133" t="s">
        <v>261</v>
      </c>
      <c r="N1133" t="s">
        <v>208</v>
      </c>
      <c r="O1133" t="s">
        <v>262</v>
      </c>
      <c r="P1133" t="s">
        <v>210</v>
      </c>
      <c r="Q1133" t="s">
        <v>6</v>
      </c>
      <c r="R1133" t="s">
        <v>359</v>
      </c>
      <c r="S1133" t="s">
        <v>7</v>
      </c>
      <c r="T1133" t="s">
        <v>322</v>
      </c>
      <c r="U1133">
        <f>Sales_Order[[#This Row],[Quantity ordered]]*Sales_Order[[#This Row],[Price each]]</f>
        <v>1882.8</v>
      </c>
    </row>
    <row r="1134" spans="1:21" x14ac:dyDescent="0.3">
      <c r="A1134">
        <v>10307</v>
      </c>
      <c r="B1134">
        <v>34</v>
      </c>
      <c r="C1134">
        <v>97.76</v>
      </c>
      <c r="D1134">
        <v>5</v>
      </c>
      <c r="E1134" s="1">
        <v>38274</v>
      </c>
      <c r="F1134" t="s">
        <v>0</v>
      </c>
      <c r="G1134">
        <v>4</v>
      </c>
      <c r="H1134">
        <v>2004</v>
      </c>
      <c r="I1134" t="s">
        <v>68</v>
      </c>
      <c r="J1134" t="s">
        <v>124</v>
      </c>
      <c r="K1134" t="s">
        <v>201</v>
      </c>
      <c r="L1134" t="s">
        <v>202</v>
      </c>
      <c r="M1134" t="s">
        <v>203</v>
      </c>
      <c r="N1134" t="s">
        <v>186</v>
      </c>
      <c r="O1134" t="s">
        <v>204</v>
      </c>
      <c r="P1134" t="s">
        <v>5</v>
      </c>
      <c r="Q1134" t="s">
        <v>6</v>
      </c>
      <c r="R1134" t="s">
        <v>342</v>
      </c>
      <c r="S1134" t="s">
        <v>8</v>
      </c>
      <c r="T1134" t="s">
        <v>324</v>
      </c>
      <c r="U1134">
        <f>Sales_Order[[#This Row],[Quantity ordered]]*Sales_Order[[#This Row],[Price each]]</f>
        <v>3323.84</v>
      </c>
    </row>
    <row r="1135" spans="1:21" x14ac:dyDescent="0.3">
      <c r="A1135">
        <v>10316</v>
      </c>
      <c r="B1135">
        <v>45</v>
      </c>
      <c r="C1135">
        <v>93.24</v>
      </c>
      <c r="D1135">
        <v>13</v>
      </c>
      <c r="E1135" s="1">
        <v>37997</v>
      </c>
      <c r="F1135" t="s">
        <v>0</v>
      </c>
      <c r="G1135">
        <v>4</v>
      </c>
      <c r="H1135">
        <v>2004</v>
      </c>
      <c r="I1135" t="s">
        <v>68</v>
      </c>
      <c r="J1135" t="s">
        <v>124</v>
      </c>
      <c r="K1135" t="s">
        <v>267</v>
      </c>
      <c r="L1135" t="s">
        <v>268</v>
      </c>
      <c r="M1135" t="s">
        <v>269</v>
      </c>
      <c r="N1135" t="s">
        <v>270</v>
      </c>
      <c r="O1135" t="s">
        <v>271</v>
      </c>
      <c r="P1135" t="s">
        <v>193</v>
      </c>
      <c r="Q1135" t="s">
        <v>157</v>
      </c>
      <c r="R1135" t="s">
        <v>362</v>
      </c>
      <c r="S1135" t="s">
        <v>8</v>
      </c>
      <c r="T1135" t="s">
        <v>334</v>
      </c>
      <c r="U1135">
        <f>Sales_Order[[#This Row],[Quantity ordered]]*Sales_Order[[#This Row],[Price each]]</f>
        <v>4195.8</v>
      </c>
    </row>
    <row r="1136" spans="1:21" x14ac:dyDescent="0.3">
      <c r="A1136">
        <v>10339</v>
      </c>
      <c r="B1136">
        <v>55</v>
      </c>
      <c r="C1136">
        <v>71.25</v>
      </c>
      <c r="D1136">
        <v>15</v>
      </c>
      <c r="E1136" s="1">
        <v>38314</v>
      </c>
      <c r="F1136" t="s">
        <v>0</v>
      </c>
      <c r="G1136">
        <v>4</v>
      </c>
      <c r="H1136">
        <v>2004</v>
      </c>
      <c r="I1136" t="s">
        <v>68</v>
      </c>
      <c r="J1136" t="s">
        <v>124</v>
      </c>
      <c r="K1136" t="s">
        <v>220</v>
      </c>
      <c r="L1136" t="s">
        <v>221</v>
      </c>
      <c r="M1136" t="s">
        <v>222</v>
      </c>
      <c r="N1136" t="s">
        <v>223</v>
      </c>
      <c r="O1136" t="s">
        <v>224</v>
      </c>
      <c r="P1136" t="s">
        <v>195</v>
      </c>
      <c r="Q1136" t="s">
        <v>195</v>
      </c>
      <c r="R1136" t="s">
        <v>348</v>
      </c>
      <c r="S1136" t="s">
        <v>8</v>
      </c>
      <c r="T1136" t="s">
        <v>334</v>
      </c>
      <c r="U1136">
        <f>Sales_Order[[#This Row],[Quantity ordered]]*Sales_Order[[#This Row],[Price each]]</f>
        <v>3918.75</v>
      </c>
    </row>
    <row r="1137" spans="1:21" x14ac:dyDescent="0.3">
      <c r="A1137">
        <v>10352</v>
      </c>
      <c r="B1137">
        <v>23</v>
      </c>
      <c r="C1137">
        <v>100</v>
      </c>
      <c r="D1137">
        <v>3</v>
      </c>
      <c r="E1137" s="1">
        <v>38058</v>
      </c>
      <c r="F1137" t="s">
        <v>0</v>
      </c>
      <c r="G1137">
        <v>4</v>
      </c>
      <c r="H1137">
        <v>2004</v>
      </c>
      <c r="I1137" t="s">
        <v>68</v>
      </c>
      <c r="J1137" t="s">
        <v>124</v>
      </c>
      <c r="K1137" t="s">
        <v>305</v>
      </c>
      <c r="L1137" t="s">
        <v>306</v>
      </c>
      <c r="M1137" t="s">
        <v>235</v>
      </c>
      <c r="N1137" t="s">
        <v>181</v>
      </c>
      <c r="O1137" t="s">
        <v>236</v>
      </c>
      <c r="P1137" t="s">
        <v>5</v>
      </c>
      <c r="Q1137" t="s">
        <v>6</v>
      </c>
      <c r="R1137" t="s">
        <v>373</v>
      </c>
      <c r="S1137" t="s">
        <v>7</v>
      </c>
      <c r="T1137" t="s">
        <v>336</v>
      </c>
      <c r="U1137">
        <f>Sales_Order[[#This Row],[Quantity ordered]]*Sales_Order[[#This Row],[Price each]]</f>
        <v>2300</v>
      </c>
    </row>
    <row r="1138" spans="1:21" x14ac:dyDescent="0.3">
      <c r="A1138">
        <v>10361</v>
      </c>
      <c r="B1138">
        <v>24</v>
      </c>
      <c r="C1138">
        <v>45.39</v>
      </c>
      <c r="D1138">
        <v>14</v>
      </c>
      <c r="E1138" s="1">
        <v>38338</v>
      </c>
      <c r="F1138" t="s">
        <v>0</v>
      </c>
      <c r="G1138">
        <v>4</v>
      </c>
      <c r="H1138">
        <v>2004</v>
      </c>
      <c r="I1138" t="s">
        <v>68</v>
      </c>
      <c r="J1138" t="s">
        <v>124</v>
      </c>
      <c r="K1138" t="s">
        <v>18</v>
      </c>
      <c r="L1138" t="s">
        <v>19</v>
      </c>
      <c r="M1138" t="s">
        <v>20</v>
      </c>
      <c r="N1138" t="s">
        <v>21</v>
      </c>
      <c r="O1138" t="s">
        <v>136</v>
      </c>
      <c r="P1138" t="s">
        <v>13</v>
      </c>
      <c r="Q1138" t="s">
        <v>14</v>
      </c>
      <c r="R1138" t="s">
        <v>335</v>
      </c>
      <c r="S1138" t="s">
        <v>7</v>
      </c>
      <c r="T1138" t="s">
        <v>336</v>
      </c>
      <c r="U1138">
        <f>Sales_Order[[#This Row],[Quantity ordered]]*Sales_Order[[#This Row],[Price each]]</f>
        <v>1089.3600000000001</v>
      </c>
    </row>
    <row r="1139" spans="1:21" x14ac:dyDescent="0.3">
      <c r="A1139">
        <v>10400</v>
      </c>
      <c r="B1139">
        <v>46</v>
      </c>
      <c r="C1139">
        <v>87.8</v>
      </c>
      <c r="D1139">
        <v>5</v>
      </c>
      <c r="E1139" s="1">
        <v>38356</v>
      </c>
      <c r="F1139" t="s">
        <v>0</v>
      </c>
      <c r="G1139">
        <v>2</v>
      </c>
      <c r="H1139">
        <v>2005</v>
      </c>
      <c r="I1139" t="s">
        <v>68</v>
      </c>
      <c r="J1139" t="s">
        <v>124</v>
      </c>
      <c r="K1139" t="s">
        <v>272</v>
      </c>
      <c r="L1139" t="s">
        <v>273</v>
      </c>
      <c r="M1139" t="s">
        <v>274</v>
      </c>
      <c r="N1139" t="s">
        <v>161</v>
      </c>
      <c r="O1139" t="s">
        <v>166</v>
      </c>
      <c r="P1139" t="s">
        <v>5</v>
      </c>
      <c r="Q1139" t="s">
        <v>6</v>
      </c>
      <c r="R1139" t="s">
        <v>363</v>
      </c>
      <c r="S1139" t="s">
        <v>8</v>
      </c>
      <c r="T1139" t="s">
        <v>327</v>
      </c>
      <c r="U1139">
        <f>Sales_Order[[#This Row],[Quantity ordered]]*Sales_Order[[#This Row],[Price each]]</f>
        <v>4038.7999999999997</v>
      </c>
    </row>
    <row r="1140" spans="1:21" x14ac:dyDescent="0.3">
      <c r="A1140">
        <v>10415</v>
      </c>
      <c r="B1140">
        <v>32</v>
      </c>
      <c r="C1140">
        <v>95.95</v>
      </c>
      <c r="D1140">
        <v>4</v>
      </c>
      <c r="E1140" s="1">
        <v>38600</v>
      </c>
      <c r="F1140" t="s">
        <v>194</v>
      </c>
      <c r="G1140">
        <v>2</v>
      </c>
      <c r="H1140">
        <v>2005</v>
      </c>
      <c r="I1140" t="s">
        <v>68</v>
      </c>
      <c r="J1140" t="s">
        <v>124</v>
      </c>
      <c r="K1140" t="s">
        <v>296</v>
      </c>
      <c r="L1140" t="s">
        <v>297</v>
      </c>
      <c r="M1140" t="s">
        <v>298</v>
      </c>
      <c r="N1140" t="s">
        <v>12</v>
      </c>
      <c r="O1140" t="s">
        <v>299</v>
      </c>
      <c r="P1140" t="s">
        <v>13</v>
      </c>
      <c r="Q1140" t="s">
        <v>14</v>
      </c>
      <c r="R1140" t="s">
        <v>371</v>
      </c>
      <c r="S1140" t="s">
        <v>8</v>
      </c>
      <c r="T1140" t="s">
        <v>329</v>
      </c>
      <c r="U1140">
        <f>Sales_Order[[#This Row],[Quantity ordered]]*Sales_Order[[#This Row],[Price each]]</f>
        <v>3070.4</v>
      </c>
    </row>
    <row r="1141" spans="1:21" x14ac:dyDescent="0.3">
      <c r="A1141">
        <v>10120</v>
      </c>
      <c r="B1141">
        <v>24</v>
      </c>
      <c r="C1141">
        <v>100</v>
      </c>
      <c r="D1141">
        <v>15</v>
      </c>
      <c r="E1141" s="1">
        <v>37740</v>
      </c>
      <c r="F1141" t="s">
        <v>0</v>
      </c>
      <c r="G1141">
        <v>2</v>
      </c>
      <c r="H1141">
        <v>2003</v>
      </c>
      <c r="I1141" t="s">
        <v>53</v>
      </c>
      <c r="J1141" t="s">
        <v>125</v>
      </c>
      <c r="K1141" t="s">
        <v>9</v>
      </c>
      <c r="L1141" t="s">
        <v>10</v>
      </c>
      <c r="M1141" t="s">
        <v>11</v>
      </c>
      <c r="N1141" t="s">
        <v>12</v>
      </c>
      <c r="O1141" t="s">
        <v>134</v>
      </c>
      <c r="P1141" t="s">
        <v>13</v>
      </c>
      <c r="Q1141" t="s">
        <v>14</v>
      </c>
      <c r="R1141" t="s">
        <v>325</v>
      </c>
      <c r="S1141" t="s">
        <v>7</v>
      </c>
      <c r="T1141" t="s">
        <v>327</v>
      </c>
      <c r="U1141">
        <f>Sales_Order[[#This Row],[Quantity ordered]]*Sales_Order[[#This Row],[Price each]]</f>
        <v>2400</v>
      </c>
    </row>
    <row r="1142" spans="1:21" x14ac:dyDescent="0.3">
      <c r="A1142">
        <v>10131</v>
      </c>
      <c r="B1142">
        <v>40</v>
      </c>
      <c r="C1142">
        <v>100</v>
      </c>
      <c r="D1142">
        <v>1</v>
      </c>
      <c r="E1142" s="1">
        <v>37788</v>
      </c>
      <c r="F1142" t="s">
        <v>0</v>
      </c>
      <c r="G1142">
        <v>2</v>
      </c>
      <c r="H1142">
        <v>2003</v>
      </c>
      <c r="I1142" t="s">
        <v>53</v>
      </c>
      <c r="J1142" t="s">
        <v>125</v>
      </c>
      <c r="K1142" t="s">
        <v>301</v>
      </c>
      <c r="L1142" t="s">
        <v>302</v>
      </c>
      <c r="M1142" t="s">
        <v>284</v>
      </c>
      <c r="N1142" t="s">
        <v>176</v>
      </c>
      <c r="O1142" t="s">
        <v>303</v>
      </c>
      <c r="P1142" t="s">
        <v>5</v>
      </c>
      <c r="Q1142" t="s">
        <v>6</v>
      </c>
      <c r="R1142" t="s">
        <v>372</v>
      </c>
      <c r="S1142" t="s">
        <v>8</v>
      </c>
      <c r="T1142" t="s">
        <v>331</v>
      </c>
      <c r="U1142">
        <f>Sales_Order[[#This Row],[Quantity ordered]]*Sales_Order[[#This Row],[Price each]]</f>
        <v>4000</v>
      </c>
    </row>
    <row r="1143" spans="1:21" x14ac:dyDescent="0.3">
      <c r="A1143">
        <v>10143</v>
      </c>
      <c r="B1143">
        <v>26</v>
      </c>
      <c r="C1143">
        <v>82.77</v>
      </c>
      <c r="D1143">
        <v>4</v>
      </c>
      <c r="E1143" s="1">
        <v>37902</v>
      </c>
      <c r="F1143" t="s">
        <v>0</v>
      </c>
      <c r="G1143">
        <v>3</v>
      </c>
      <c r="H1143">
        <v>2003</v>
      </c>
      <c r="I1143" t="s">
        <v>53</v>
      </c>
      <c r="J1143" t="s">
        <v>125</v>
      </c>
      <c r="K1143" t="s">
        <v>252</v>
      </c>
      <c r="L1143" t="s">
        <v>253</v>
      </c>
      <c r="M1143" t="s">
        <v>191</v>
      </c>
      <c r="N1143" t="s">
        <v>181</v>
      </c>
      <c r="O1143" t="s">
        <v>192</v>
      </c>
      <c r="P1143" t="s">
        <v>5</v>
      </c>
      <c r="Q1143" t="s">
        <v>6</v>
      </c>
      <c r="R1143" t="s">
        <v>357</v>
      </c>
      <c r="S1143" t="s">
        <v>7</v>
      </c>
      <c r="T1143" t="s">
        <v>322</v>
      </c>
      <c r="U1143">
        <f>Sales_Order[[#This Row],[Quantity ordered]]*Sales_Order[[#This Row],[Price each]]</f>
        <v>2152.02</v>
      </c>
    </row>
    <row r="1144" spans="1:21" x14ac:dyDescent="0.3">
      <c r="A1144">
        <v>10168</v>
      </c>
      <c r="B1144">
        <v>31</v>
      </c>
      <c r="C1144">
        <v>100</v>
      </c>
      <c r="D1144">
        <v>16</v>
      </c>
      <c r="E1144" s="1">
        <v>37922</v>
      </c>
      <c r="F1144" t="s">
        <v>0</v>
      </c>
      <c r="G1144">
        <v>4</v>
      </c>
      <c r="H1144">
        <v>2003</v>
      </c>
      <c r="I1144" t="s">
        <v>53</v>
      </c>
      <c r="J1144" t="s">
        <v>125</v>
      </c>
      <c r="K1144" t="s">
        <v>163</v>
      </c>
      <c r="L1144" t="s">
        <v>164</v>
      </c>
      <c r="M1144" t="s">
        <v>165</v>
      </c>
      <c r="N1144" t="s">
        <v>161</v>
      </c>
      <c r="O1144" t="s">
        <v>166</v>
      </c>
      <c r="P1144" t="s">
        <v>5</v>
      </c>
      <c r="Q1144" t="s">
        <v>6</v>
      </c>
      <c r="R1144" t="s">
        <v>323</v>
      </c>
      <c r="S1144" t="s">
        <v>8</v>
      </c>
      <c r="T1144" t="s">
        <v>324</v>
      </c>
      <c r="U1144">
        <f>Sales_Order[[#This Row],[Quantity ordered]]*Sales_Order[[#This Row],[Price each]]</f>
        <v>3100</v>
      </c>
    </row>
    <row r="1145" spans="1:21" x14ac:dyDescent="0.3">
      <c r="A1145">
        <v>10210</v>
      </c>
      <c r="B1145">
        <v>26</v>
      </c>
      <c r="C1145">
        <v>99.72</v>
      </c>
      <c r="D1145">
        <v>14</v>
      </c>
      <c r="E1145" s="1">
        <v>38322</v>
      </c>
      <c r="F1145" t="s">
        <v>0</v>
      </c>
      <c r="G1145">
        <v>1</v>
      </c>
      <c r="H1145">
        <v>2004</v>
      </c>
      <c r="I1145" t="s">
        <v>53</v>
      </c>
      <c r="J1145" t="s">
        <v>125</v>
      </c>
      <c r="K1145" t="s">
        <v>242</v>
      </c>
      <c r="L1145" t="s">
        <v>243</v>
      </c>
      <c r="M1145" t="s">
        <v>244</v>
      </c>
      <c r="N1145" t="s">
        <v>244</v>
      </c>
      <c r="O1145" t="s">
        <v>245</v>
      </c>
      <c r="P1145" t="s">
        <v>195</v>
      </c>
      <c r="Q1145" t="s">
        <v>195</v>
      </c>
      <c r="R1145" t="s">
        <v>354</v>
      </c>
      <c r="S1145" t="s">
        <v>7</v>
      </c>
      <c r="T1145" t="s">
        <v>345</v>
      </c>
      <c r="U1145">
        <f>Sales_Order[[#This Row],[Quantity ordered]]*Sales_Order[[#This Row],[Price each]]</f>
        <v>2592.7199999999998</v>
      </c>
    </row>
    <row r="1146" spans="1:21" x14ac:dyDescent="0.3">
      <c r="A1146">
        <v>10222</v>
      </c>
      <c r="B1146">
        <v>37</v>
      </c>
      <c r="C1146">
        <v>87.75</v>
      </c>
      <c r="D1146">
        <v>1</v>
      </c>
      <c r="E1146" s="1">
        <v>38036</v>
      </c>
      <c r="F1146" t="s">
        <v>0</v>
      </c>
      <c r="G1146">
        <v>1</v>
      </c>
      <c r="H1146">
        <v>2004</v>
      </c>
      <c r="I1146" t="s">
        <v>53</v>
      </c>
      <c r="J1146" t="s">
        <v>125</v>
      </c>
      <c r="K1146" t="s">
        <v>255</v>
      </c>
      <c r="L1146" t="s">
        <v>256</v>
      </c>
      <c r="M1146" t="s">
        <v>257</v>
      </c>
      <c r="N1146" t="s">
        <v>161</v>
      </c>
      <c r="O1146" t="s">
        <v>258</v>
      </c>
      <c r="P1146" t="s">
        <v>5</v>
      </c>
      <c r="Q1146" t="s">
        <v>6</v>
      </c>
      <c r="R1146" t="s">
        <v>358</v>
      </c>
      <c r="S1146" t="s">
        <v>8</v>
      </c>
      <c r="T1146" t="s">
        <v>320</v>
      </c>
      <c r="U1146">
        <f>Sales_Order[[#This Row],[Quantity ordered]]*Sales_Order[[#This Row],[Price each]]</f>
        <v>3246.75</v>
      </c>
    </row>
    <row r="1147" spans="1:21" x14ac:dyDescent="0.3">
      <c r="A1147">
        <v>10235</v>
      </c>
      <c r="B1147">
        <v>38</v>
      </c>
      <c r="C1147">
        <v>88.75</v>
      </c>
      <c r="D1147">
        <v>10</v>
      </c>
      <c r="E1147" s="1">
        <v>38021</v>
      </c>
      <c r="F1147" t="s">
        <v>0</v>
      </c>
      <c r="G1147">
        <v>2</v>
      </c>
      <c r="H1147">
        <v>2004</v>
      </c>
      <c r="I1147" t="s">
        <v>53</v>
      </c>
      <c r="J1147" t="s">
        <v>125</v>
      </c>
      <c r="K1147" t="s">
        <v>259</v>
      </c>
      <c r="L1147" t="s">
        <v>260</v>
      </c>
      <c r="M1147" t="s">
        <v>261</v>
      </c>
      <c r="N1147" t="s">
        <v>208</v>
      </c>
      <c r="O1147" t="s">
        <v>262</v>
      </c>
      <c r="P1147" t="s">
        <v>210</v>
      </c>
      <c r="Q1147" t="s">
        <v>6</v>
      </c>
      <c r="R1147" t="s">
        <v>359</v>
      </c>
      <c r="S1147" t="s">
        <v>8</v>
      </c>
      <c r="T1147" t="s">
        <v>327</v>
      </c>
      <c r="U1147">
        <f>Sales_Order[[#This Row],[Quantity ordered]]*Sales_Order[[#This Row],[Price each]]</f>
        <v>3372.5</v>
      </c>
    </row>
    <row r="1148" spans="1:21" x14ac:dyDescent="0.3">
      <c r="A1148">
        <v>10250</v>
      </c>
      <c r="B1148">
        <v>35</v>
      </c>
      <c r="C1148">
        <v>100</v>
      </c>
      <c r="D1148">
        <v>11</v>
      </c>
      <c r="E1148" s="1">
        <v>38296</v>
      </c>
      <c r="F1148" t="s">
        <v>0</v>
      </c>
      <c r="G1148">
        <v>2</v>
      </c>
      <c r="H1148">
        <v>2004</v>
      </c>
      <c r="I1148" t="s">
        <v>53</v>
      </c>
      <c r="J1148" t="s">
        <v>125</v>
      </c>
      <c r="K1148" t="s">
        <v>272</v>
      </c>
      <c r="L1148" t="s">
        <v>273</v>
      </c>
      <c r="M1148" t="s">
        <v>274</v>
      </c>
      <c r="N1148" t="s">
        <v>161</v>
      </c>
      <c r="O1148" t="s">
        <v>166</v>
      </c>
      <c r="P1148" t="s">
        <v>5</v>
      </c>
      <c r="Q1148" t="s">
        <v>6</v>
      </c>
      <c r="R1148" t="s">
        <v>363</v>
      </c>
      <c r="S1148" t="s">
        <v>8</v>
      </c>
      <c r="T1148" t="s">
        <v>329</v>
      </c>
      <c r="U1148">
        <f>Sales_Order[[#This Row],[Quantity ordered]]*Sales_Order[[#This Row],[Price each]]</f>
        <v>3500</v>
      </c>
    </row>
    <row r="1149" spans="1:21" x14ac:dyDescent="0.3">
      <c r="A1149">
        <v>10308</v>
      </c>
      <c r="B1149">
        <v>35</v>
      </c>
      <c r="C1149">
        <v>88.75</v>
      </c>
      <c r="D1149">
        <v>14</v>
      </c>
      <c r="E1149" s="1">
        <v>38275</v>
      </c>
      <c r="F1149" t="s">
        <v>0</v>
      </c>
      <c r="G1149">
        <v>4</v>
      </c>
      <c r="H1149">
        <v>2004</v>
      </c>
      <c r="I1149" t="s">
        <v>53</v>
      </c>
      <c r="J1149" t="s">
        <v>125</v>
      </c>
      <c r="K1149" t="s">
        <v>248</v>
      </c>
      <c r="L1149" t="s">
        <v>249</v>
      </c>
      <c r="M1149" t="s">
        <v>250</v>
      </c>
      <c r="N1149" t="s">
        <v>4</v>
      </c>
      <c r="O1149" t="s">
        <v>251</v>
      </c>
      <c r="P1149" t="s">
        <v>5</v>
      </c>
      <c r="Q1149" t="s">
        <v>6</v>
      </c>
      <c r="R1149" t="s">
        <v>356</v>
      </c>
      <c r="S1149" t="s">
        <v>8</v>
      </c>
      <c r="T1149" t="s">
        <v>324</v>
      </c>
      <c r="U1149">
        <f>Sales_Order[[#This Row],[Quantity ordered]]*Sales_Order[[#This Row],[Price each]]</f>
        <v>3106.25</v>
      </c>
    </row>
    <row r="1150" spans="1:21" x14ac:dyDescent="0.3">
      <c r="A1150">
        <v>10316</v>
      </c>
      <c r="B1150">
        <v>23</v>
      </c>
      <c r="C1150">
        <v>100</v>
      </c>
      <c r="D1150">
        <v>6</v>
      </c>
      <c r="E1150" s="1">
        <v>37997</v>
      </c>
      <c r="F1150" t="s">
        <v>0</v>
      </c>
      <c r="G1150">
        <v>4</v>
      </c>
      <c r="H1150">
        <v>2004</v>
      </c>
      <c r="I1150" t="s">
        <v>53</v>
      </c>
      <c r="J1150" t="s">
        <v>125</v>
      </c>
      <c r="K1150" t="s">
        <v>267</v>
      </c>
      <c r="L1150" t="s">
        <v>268</v>
      </c>
      <c r="M1150" t="s">
        <v>269</v>
      </c>
      <c r="N1150" t="s">
        <v>270</v>
      </c>
      <c r="O1150" t="s">
        <v>271</v>
      </c>
      <c r="P1150" t="s">
        <v>193</v>
      </c>
      <c r="Q1150" t="s">
        <v>157</v>
      </c>
      <c r="R1150" t="s">
        <v>362</v>
      </c>
      <c r="S1150" t="s">
        <v>7</v>
      </c>
      <c r="T1150" t="s">
        <v>334</v>
      </c>
      <c r="U1150">
        <f>Sales_Order[[#This Row],[Quantity ordered]]*Sales_Order[[#This Row],[Price each]]</f>
        <v>2300</v>
      </c>
    </row>
    <row r="1151" spans="1:21" x14ac:dyDescent="0.3">
      <c r="A1151">
        <v>10352</v>
      </c>
      <c r="B1151">
        <v>49</v>
      </c>
      <c r="C1151">
        <v>100</v>
      </c>
      <c r="D1151">
        <v>2</v>
      </c>
      <c r="E1151" s="1">
        <v>38058</v>
      </c>
      <c r="F1151" t="s">
        <v>0</v>
      </c>
      <c r="G1151">
        <v>4</v>
      </c>
      <c r="H1151">
        <v>2004</v>
      </c>
      <c r="I1151" t="s">
        <v>53</v>
      </c>
      <c r="J1151" t="s">
        <v>125</v>
      </c>
      <c r="K1151" t="s">
        <v>305</v>
      </c>
      <c r="L1151" t="s">
        <v>306</v>
      </c>
      <c r="M1151" t="s">
        <v>235</v>
      </c>
      <c r="N1151" t="s">
        <v>181</v>
      </c>
      <c r="O1151" t="s">
        <v>236</v>
      </c>
      <c r="P1151" t="s">
        <v>5</v>
      </c>
      <c r="Q1151" t="s">
        <v>6</v>
      </c>
      <c r="R1151" t="s">
        <v>373</v>
      </c>
      <c r="S1151" t="s">
        <v>8</v>
      </c>
      <c r="T1151" t="s">
        <v>336</v>
      </c>
      <c r="U1151">
        <f>Sales_Order[[#This Row],[Quantity ordered]]*Sales_Order[[#This Row],[Price each]]</f>
        <v>4900</v>
      </c>
    </row>
    <row r="1152" spans="1:21" x14ac:dyDescent="0.3">
      <c r="A1152">
        <v>10361</v>
      </c>
      <c r="B1152">
        <v>26</v>
      </c>
      <c r="C1152">
        <v>100</v>
      </c>
      <c r="D1152">
        <v>9</v>
      </c>
      <c r="E1152" s="1">
        <v>38338</v>
      </c>
      <c r="F1152" t="s">
        <v>0</v>
      </c>
      <c r="G1152">
        <v>4</v>
      </c>
      <c r="H1152">
        <v>2004</v>
      </c>
      <c r="I1152" t="s">
        <v>53</v>
      </c>
      <c r="J1152" t="s">
        <v>125</v>
      </c>
      <c r="K1152" t="s">
        <v>18</v>
      </c>
      <c r="L1152" t="s">
        <v>19</v>
      </c>
      <c r="M1152" t="s">
        <v>20</v>
      </c>
      <c r="N1152" t="s">
        <v>21</v>
      </c>
      <c r="O1152" t="s">
        <v>136</v>
      </c>
      <c r="P1152" t="s">
        <v>13</v>
      </c>
      <c r="Q1152" t="s">
        <v>14</v>
      </c>
      <c r="R1152" t="s">
        <v>335</v>
      </c>
      <c r="S1152" t="s">
        <v>7</v>
      </c>
      <c r="T1152" t="s">
        <v>336</v>
      </c>
      <c r="U1152">
        <f>Sales_Order[[#This Row],[Quantity ordered]]*Sales_Order[[#This Row],[Price each]]</f>
        <v>2600</v>
      </c>
    </row>
    <row r="1153" spans="1:21" x14ac:dyDescent="0.3">
      <c r="A1153">
        <v>10401</v>
      </c>
      <c r="B1153">
        <v>85</v>
      </c>
      <c r="C1153">
        <v>88.75</v>
      </c>
      <c r="D1153">
        <v>10</v>
      </c>
      <c r="E1153" s="1">
        <v>38415</v>
      </c>
      <c r="F1153" t="s">
        <v>275</v>
      </c>
      <c r="G1153">
        <v>2</v>
      </c>
      <c r="H1153">
        <v>2005</v>
      </c>
      <c r="I1153" t="s">
        <v>53</v>
      </c>
      <c r="J1153" t="s">
        <v>125</v>
      </c>
      <c r="K1153" t="s">
        <v>168</v>
      </c>
      <c r="L1153" t="s">
        <v>169</v>
      </c>
      <c r="M1153" t="s">
        <v>170</v>
      </c>
      <c r="N1153" t="s">
        <v>171</v>
      </c>
      <c r="O1153" t="s">
        <v>172</v>
      </c>
      <c r="P1153" t="s">
        <v>5</v>
      </c>
      <c r="Q1153" t="s">
        <v>6</v>
      </c>
      <c r="R1153" t="s">
        <v>328</v>
      </c>
      <c r="S1153" t="s">
        <v>17</v>
      </c>
      <c r="T1153" t="s">
        <v>327</v>
      </c>
      <c r="U1153">
        <f>Sales_Order[[#This Row],[Quantity ordered]]*Sales_Order[[#This Row],[Price each]]</f>
        <v>7543.75</v>
      </c>
    </row>
    <row r="1154" spans="1:21" x14ac:dyDescent="0.3">
      <c r="A1154">
        <v>10143</v>
      </c>
      <c r="B1154">
        <v>31</v>
      </c>
      <c r="C1154">
        <v>85.29</v>
      </c>
      <c r="D1154">
        <v>16</v>
      </c>
      <c r="E1154" s="1">
        <v>37902</v>
      </c>
      <c r="F1154" t="s">
        <v>0</v>
      </c>
      <c r="G1154">
        <v>3</v>
      </c>
      <c r="H1154">
        <v>2003</v>
      </c>
      <c r="I1154" t="s">
        <v>68</v>
      </c>
      <c r="J1154" t="s">
        <v>314</v>
      </c>
      <c r="K1154" t="s">
        <v>252</v>
      </c>
      <c r="L1154" t="s">
        <v>253</v>
      </c>
      <c r="M1154" t="s">
        <v>191</v>
      </c>
      <c r="N1154" t="s">
        <v>181</v>
      </c>
      <c r="O1154" t="s">
        <v>192</v>
      </c>
      <c r="P1154" t="s">
        <v>5</v>
      </c>
      <c r="Q1154" t="s">
        <v>6</v>
      </c>
      <c r="R1154" t="s">
        <v>357</v>
      </c>
      <c r="S1154" t="s">
        <v>7</v>
      </c>
      <c r="T1154" t="s">
        <v>322</v>
      </c>
      <c r="U1154">
        <f>Sales_Order[[#This Row],[Quantity ordered]]*Sales_Order[[#This Row],[Price each]]</f>
        <v>2643.9900000000002</v>
      </c>
    </row>
    <row r="1155" spans="1:21" x14ac:dyDescent="0.3">
      <c r="A1155">
        <v>10154</v>
      </c>
      <c r="B1155">
        <v>36</v>
      </c>
      <c r="C1155">
        <v>64.33</v>
      </c>
      <c r="D1155">
        <v>1</v>
      </c>
      <c r="E1155" s="1">
        <v>37662</v>
      </c>
      <c r="F1155" t="s">
        <v>0</v>
      </c>
      <c r="G1155">
        <v>4</v>
      </c>
      <c r="H1155">
        <v>2003</v>
      </c>
      <c r="I1155" t="s">
        <v>68</v>
      </c>
      <c r="J1155" t="s">
        <v>314</v>
      </c>
      <c r="K1155" t="s">
        <v>282</v>
      </c>
      <c r="L1155" t="s">
        <v>283</v>
      </c>
      <c r="M1155" t="s">
        <v>284</v>
      </c>
      <c r="N1155" t="s">
        <v>161</v>
      </c>
      <c r="O1155" t="s">
        <v>285</v>
      </c>
      <c r="P1155" t="s">
        <v>5</v>
      </c>
      <c r="Q1155" t="s">
        <v>6</v>
      </c>
      <c r="R1155" t="s">
        <v>368</v>
      </c>
      <c r="S1155" t="s">
        <v>7</v>
      </c>
      <c r="T1155" t="s">
        <v>324</v>
      </c>
      <c r="U1155">
        <f>Sales_Order[[#This Row],[Quantity ordered]]*Sales_Order[[#This Row],[Price each]]</f>
        <v>2315.88</v>
      </c>
    </row>
    <row r="1156" spans="1:21" x14ac:dyDescent="0.3">
      <c r="A1156">
        <v>10185</v>
      </c>
      <c r="B1156">
        <v>39</v>
      </c>
      <c r="C1156">
        <v>57.82</v>
      </c>
      <c r="D1156">
        <v>1</v>
      </c>
      <c r="E1156" s="1">
        <v>37939</v>
      </c>
      <c r="F1156" t="s">
        <v>0</v>
      </c>
      <c r="G1156">
        <v>4</v>
      </c>
      <c r="H1156">
        <v>2003</v>
      </c>
      <c r="I1156" t="s">
        <v>68</v>
      </c>
      <c r="J1156" t="s">
        <v>314</v>
      </c>
      <c r="K1156" t="s">
        <v>252</v>
      </c>
      <c r="L1156" t="s">
        <v>253</v>
      </c>
      <c r="M1156" t="s">
        <v>191</v>
      </c>
      <c r="N1156" t="s">
        <v>181</v>
      </c>
      <c r="O1156" t="s">
        <v>192</v>
      </c>
      <c r="P1156" t="s">
        <v>5</v>
      </c>
      <c r="Q1156" t="s">
        <v>6</v>
      </c>
      <c r="R1156" t="s">
        <v>357</v>
      </c>
      <c r="S1156" t="s">
        <v>7</v>
      </c>
      <c r="T1156" t="s">
        <v>334</v>
      </c>
      <c r="U1156">
        <f>Sales_Order[[#This Row],[Quantity ordered]]*Sales_Order[[#This Row],[Price each]]</f>
        <v>2254.98</v>
      </c>
    </row>
    <row r="1157" spans="1:21" x14ac:dyDescent="0.3">
      <c r="A1157">
        <v>10222</v>
      </c>
      <c r="B1157">
        <v>36</v>
      </c>
      <c r="C1157">
        <v>80.95</v>
      </c>
      <c r="D1157">
        <v>13</v>
      </c>
      <c r="E1157" s="1">
        <v>38036</v>
      </c>
      <c r="F1157" t="s">
        <v>0</v>
      </c>
      <c r="G1157">
        <v>1</v>
      </c>
      <c r="H1157">
        <v>2004</v>
      </c>
      <c r="I1157" t="s">
        <v>68</v>
      </c>
      <c r="J1157" t="s">
        <v>314</v>
      </c>
      <c r="K1157" t="s">
        <v>255</v>
      </c>
      <c r="L1157" t="s">
        <v>256</v>
      </c>
      <c r="M1157" t="s">
        <v>257</v>
      </c>
      <c r="N1157" t="s">
        <v>161</v>
      </c>
      <c r="O1157" t="s">
        <v>258</v>
      </c>
      <c r="P1157" t="s">
        <v>5</v>
      </c>
      <c r="Q1157" t="s">
        <v>6</v>
      </c>
      <c r="R1157" t="s">
        <v>358</v>
      </c>
      <c r="S1157" t="s">
        <v>7</v>
      </c>
      <c r="T1157" t="s">
        <v>320</v>
      </c>
      <c r="U1157">
        <f>Sales_Order[[#This Row],[Quantity ordered]]*Sales_Order[[#This Row],[Price each]]</f>
        <v>2914.2000000000003</v>
      </c>
    </row>
    <row r="1158" spans="1:21" x14ac:dyDescent="0.3">
      <c r="A1158">
        <v>10233</v>
      </c>
      <c r="B1158">
        <v>29</v>
      </c>
      <c r="C1158">
        <v>82.4</v>
      </c>
      <c r="D1158">
        <v>1</v>
      </c>
      <c r="E1158" s="1">
        <v>38075</v>
      </c>
      <c r="F1158" t="s">
        <v>0</v>
      </c>
      <c r="G1158">
        <v>1</v>
      </c>
      <c r="H1158">
        <v>2004</v>
      </c>
      <c r="I1158" t="s">
        <v>68</v>
      </c>
      <c r="J1158" t="s">
        <v>314</v>
      </c>
      <c r="K1158" t="s">
        <v>168</v>
      </c>
      <c r="L1158" t="s">
        <v>169</v>
      </c>
      <c r="M1158" t="s">
        <v>170</v>
      </c>
      <c r="N1158" t="s">
        <v>171</v>
      </c>
      <c r="O1158" t="s">
        <v>172</v>
      </c>
      <c r="P1158" t="s">
        <v>5</v>
      </c>
      <c r="Q1158" t="s">
        <v>6</v>
      </c>
      <c r="R1158" t="s">
        <v>328</v>
      </c>
      <c r="S1158" t="s">
        <v>7</v>
      </c>
      <c r="T1158" t="s">
        <v>338</v>
      </c>
      <c r="U1158">
        <f>Sales_Order[[#This Row],[Quantity ordered]]*Sales_Order[[#This Row],[Price each]]</f>
        <v>2389.6000000000004</v>
      </c>
    </row>
    <row r="1159" spans="1:21" x14ac:dyDescent="0.3">
      <c r="A1159">
        <v>10248</v>
      </c>
      <c r="B1159">
        <v>32</v>
      </c>
      <c r="C1159">
        <v>75.89</v>
      </c>
      <c r="D1159">
        <v>4</v>
      </c>
      <c r="E1159" s="1">
        <v>38173</v>
      </c>
      <c r="F1159" t="s">
        <v>254</v>
      </c>
      <c r="G1159">
        <v>2</v>
      </c>
      <c r="H1159">
        <v>2004</v>
      </c>
      <c r="I1159" t="s">
        <v>68</v>
      </c>
      <c r="J1159" t="s">
        <v>314</v>
      </c>
      <c r="K1159" t="s">
        <v>155</v>
      </c>
      <c r="L1159" t="s">
        <v>156</v>
      </c>
      <c r="M1159" t="s">
        <v>3</v>
      </c>
      <c r="N1159" t="s">
        <v>4</v>
      </c>
      <c r="O1159" t="s">
        <v>135</v>
      </c>
      <c r="P1159" t="s">
        <v>5</v>
      </c>
      <c r="Q1159" t="s">
        <v>6</v>
      </c>
      <c r="R1159" t="s">
        <v>319</v>
      </c>
      <c r="S1159" t="s">
        <v>7</v>
      </c>
      <c r="T1159" t="s">
        <v>329</v>
      </c>
      <c r="U1159">
        <f>Sales_Order[[#This Row],[Quantity ordered]]*Sales_Order[[#This Row],[Price each]]</f>
        <v>2428.48</v>
      </c>
    </row>
    <row r="1160" spans="1:21" x14ac:dyDescent="0.3">
      <c r="A1160">
        <v>10261</v>
      </c>
      <c r="B1160">
        <v>44</v>
      </c>
      <c r="C1160">
        <v>68.67</v>
      </c>
      <c r="D1160">
        <v>2</v>
      </c>
      <c r="E1160" s="1">
        <v>38155</v>
      </c>
      <c r="F1160" t="s">
        <v>0</v>
      </c>
      <c r="G1160">
        <v>2</v>
      </c>
      <c r="H1160">
        <v>2004</v>
      </c>
      <c r="I1160" t="s">
        <v>68</v>
      </c>
      <c r="J1160" t="s">
        <v>314</v>
      </c>
      <c r="K1160" t="s">
        <v>237</v>
      </c>
      <c r="L1160" t="s">
        <v>238</v>
      </c>
      <c r="M1160" t="s">
        <v>239</v>
      </c>
      <c r="N1160" t="s">
        <v>240</v>
      </c>
      <c r="O1160" t="s">
        <v>241</v>
      </c>
      <c r="P1160" t="s">
        <v>210</v>
      </c>
      <c r="Q1160" t="s">
        <v>6</v>
      </c>
      <c r="R1160" t="s">
        <v>353</v>
      </c>
      <c r="S1160" t="s">
        <v>8</v>
      </c>
      <c r="T1160" t="s">
        <v>331</v>
      </c>
      <c r="U1160">
        <f>Sales_Order[[#This Row],[Quantity ordered]]*Sales_Order[[#This Row],[Price each]]</f>
        <v>3021.48</v>
      </c>
    </row>
    <row r="1161" spans="1:21" x14ac:dyDescent="0.3">
      <c r="A1161">
        <v>10283</v>
      </c>
      <c r="B1161">
        <v>47</v>
      </c>
      <c r="C1161">
        <v>65.77</v>
      </c>
      <c r="D1161">
        <v>7</v>
      </c>
      <c r="E1161" s="1">
        <v>38219</v>
      </c>
      <c r="F1161" t="s">
        <v>0</v>
      </c>
      <c r="G1161">
        <v>3</v>
      </c>
      <c r="H1161">
        <v>2004</v>
      </c>
      <c r="I1161" t="s">
        <v>68</v>
      </c>
      <c r="J1161" t="s">
        <v>314</v>
      </c>
      <c r="K1161" t="s">
        <v>259</v>
      </c>
      <c r="L1161" t="s">
        <v>260</v>
      </c>
      <c r="M1161" t="s">
        <v>261</v>
      </c>
      <c r="N1161" t="s">
        <v>208</v>
      </c>
      <c r="O1161" t="s">
        <v>262</v>
      </c>
      <c r="P1161" t="s">
        <v>210</v>
      </c>
      <c r="Q1161" t="s">
        <v>6</v>
      </c>
      <c r="R1161" t="s">
        <v>359</v>
      </c>
      <c r="S1161" t="s">
        <v>8</v>
      </c>
      <c r="T1161" t="s">
        <v>322</v>
      </c>
      <c r="U1161">
        <f>Sales_Order[[#This Row],[Quantity ordered]]*Sales_Order[[#This Row],[Price each]]</f>
        <v>3091.1899999999996</v>
      </c>
    </row>
    <row r="1162" spans="1:21" x14ac:dyDescent="0.3">
      <c r="A1162">
        <v>10295</v>
      </c>
      <c r="B1162">
        <v>44</v>
      </c>
      <c r="C1162">
        <v>58.55</v>
      </c>
      <c r="D1162">
        <v>2</v>
      </c>
      <c r="E1162" s="1">
        <v>38269</v>
      </c>
      <c r="F1162" t="s">
        <v>0</v>
      </c>
      <c r="G1162">
        <v>3</v>
      </c>
      <c r="H1162">
        <v>2004</v>
      </c>
      <c r="I1162" t="s">
        <v>68</v>
      </c>
      <c r="J1162" t="s">
        <v>314</v>
      </c>
      <c r="K1162" t="s">
        <v>263</v>
      </c>
      <c r="L1162" t="s">
        <v>264</v>
      </c>
      <c r="M1162" t="s">
        <v>265</v>
      </c>
      <c r="N1162" t="s">
        <v>181</v>
      </c>
      <c r="O1162" t="s">
        <v>266</v>
      </c>
      <c r="P1162" t="s">
        <v>5</v>
      </c>
      <c r="Q1162" t="s">
        <v>6</v>
      </c>
      <c r="R1162" t="s">
        <v>360</v>
      </c>
      <c r="S1162" t="s">
        <v>7</v>
      </c>
      <c r="T1162" t="s">
        <v>361</v>
      </c>
      <c r="U1162">
        <f>Sales_Order[[#This Row],[Quantity ordered]]*Sales_Order[[#This Row],[Price each]]</f>
        <v>2576.1999999999998</v>
      </c>
    </row>
    <row r="1163" spans="1:21" x14ac:dyDescent="0.3">
      <c r="A1163">
        <v>10316</v>
      </c>
      <c r="B1163">
        <v>48</v>
      </c>
      <c r="C1163">
        <v>74.45</v>
      </c>
      <c r="D1163">
        <v>18</v>
      </c>
      <c r="E1163" s="1">
        <v>37997</v>
      </c>
      <c r="F1163" t="s">
        <v>0</v>
      </c>
      <c r="G1163">
        <v>4</v>
      </c>
      <c r="H1163">
        <v>2004</v>
      </c>
      <c r="I1163" t="s">
        <v>68</v>
      </c>
      <c r="J1163" t="s">
        <v>314</v>
      </c>
      <c r="K1163" t="s">
        <v>267</v>
      </c>
      <c r="L1163" t="s">
        <v>268</v>
      </c>
      <c r="M1163" t="s">
        <v>269</v>
      </c>
      <c r="N1163" t="s">
        <v>270</v>
      </c>
      <c r="O1163" t="s">
        <v>271</v>
      </c>
      <c r="P1163" t="s">
        <v>193</v>
      </c>
      <c r="Q1163" t="s">
        <v>157</v>
      </c>
      <c r="R1163" t="s">
        <v>362</v>
      </c>
      <c r="S1163" t="s">
        <v>8</v>
      </c>
      <c r="T1163" t="s">
        <v>334</v>
      </c>
      <c r="U1163">
        <f>Sales_Order[[#This Row],[Quantity ordered]]*Sales_Order[[#This Row],[Price each]]</f>
        <v>3573.6000000000004</v>
      </c>
    </row>
    <row r="1164" spans="1:21" x14ac:dyDescent="0.3">
      <c r="A1164">
        <v>10339</v>
      </c>
      <c r="B1164">
        <v>50</v>
      </c>
      <c r="C1164">
        <v>74.349999999999994</v>
      </c>
      <c r="D1164">
        <v>9</v>
      </c>
      <c r="E1164" s="1">
        <v>38314</v>
      </c>
      <c r="F1164" t="s">
        <v>0</v>
      </c>
      <c r="G1164">
        <v>4</v>
      </c>
      <c r="H1164">
        <v>2004</v>
      </c>
      <c r="I1164" t="s">
        <v>68</v>
      </c>
      <c r="J1164" t="s">
        <v>314</v>
      </c>
      <c r="K1164" t="s">
        <v>220</v>
      </c>
      <c r="L1164" t="s">
        <v>221</v>
      </c>
      <c r="M1164" t="s">
        <v>222</v>
      </c>
      <c r="N1164" t="s">
        <v>223</v>
      </c>
      <c r="O1164" t="s">
        <v>224</v>
      </c>
      <c r="P1164" t="s">
        <v>195</v>
      </c>
      <c r="Q1164" t="s">
        <v>195</v>
      </c>
      <c r="R1164" t="s">
        <v>348</v>
      </c>
      <c r="S1164" t="s">
        <v>8</v>
      </c>
      <c r="T1164" t="s">
        <v>334</v>
      </c>
      <c r="U1164">
        <f>Sales_Order[[#This Row],[Quantity ordered]]*Sales_Order[[#This Row],[Price each]]</f>
        <v>3717.4999999999995</v>
      </c>
    </row>
    <row r="1165" spans="1:21" x14ac:dyDescent="0.3">
      <c r="A1165">
        <v>10414</v>
      </c>
      <c r="B1165">
        <v>31</v>
      </c>
      <c r="C1165">
        <v>75.89</v>
      </c>
      <c r="D1165">
        <v>4</v>
      </c>
      <c r="E1165" s="1">
        <v>38508</v>
      </c>
      <c r="F1165" t="s">
        <v>275</v>
      </c>
      <c r="G1165">
        <v>2</v>
      </c>
      <c r="H1165">
        <v>2005</v>
      </c>
      <c r="I1165" t="s">
        <v>68</v>
      </c>
      <c r="J1165" t="s">
        <v>314</v>
      </c>
      <c r="K1165" t="s">
        <v>263</v>
      </c>
      <c r="L1165" t="s">
        <v>264</v>
      </c>
      <c r="M1165" t="s">
        <v>265</v>
      </c>
      <c r="N1165" t="s">
        <v>181</v>
      </c>
      <c r="O1165" t="s">
        <v>266</v>
      </c>
      <c r="P1165" t="s">
        <v>5</v>
      </c>
      <c r="Q1165" t="s">
        <v>6</v>
      </c>
      <c r="R1165" t="s">
        <v>360</v>
      </c>
      <c r="S1165" t="s">
        <v>7</v>
      </c>
      <c r="T1165" t="s">
        <v>329</v>
      </c>
      <c r="U1165">
        <f>Sales_Order[[#This Row],[Quantity ordered]]*Sales_Order[[#This Row],[Price each]]</f>
        <v>2352.59</v>
      </c>
    </row>
    <row r="1166" spans="1:21" x14ac:dyDescent="0.3">
      <c r="A1166">
        <v>10140</v>
      </c>
      <c r="B1166">
        <v>36</v>
      </c>
      <c r="C1166">
        <v>100</v>
      </c>
      <c r="D1166">
        <v>6</v>
      </c>
      <c r="E1166" s="1">
        <v>37826</v>
      </c>
      <c r="F1166" t="s">
        <v>0</v>
      </c>
      <c r="G1166">
        <v>3</v>
      </c>
      <c r="H1166">
        <v>2003</v>
      </c>
      <c r="I1166" t="s">
        <v>22</v>
      </c>
      <c r="J1166" t="s">
        <v>126</v>
      </c>
      <c r="K1166" t="s">
        <v>163</v>
      </c>
      <c r="L1166" t="s">
        <v>164</v>
      </c>
      <c r="M1166" t="s">
        <v>165</v>
      </c>
      <c r="N1166" t="s">
        <v>161</v>
      </c>
      <c r="O1166" t="s">
        <v>166</v>
      </c>
      <c r="P1166" t="s">
        <v>5</v>
      </c>
      <c r="Q1166" t="s">
        <v>6</v>
      </c>
      <c r="R1166" t="s">
        <v>323</v>
      </c>
      <c r="S1166" t="s">
        <v>8</v>
      </c>
      <c r="T1166" t="s">
        <v>339</v>
      </c>
      <c r="U1166">
        <f>Sales_Order[[#This Row],[Quantity ordered]]*Sales_Order[[#This Row],[Price each]]</f>
        <v>3600</v>
      </c>
    </row>
    <row r="1167" spans="1:21" x14ac:dyDescent="0.3">
      <c r="A1167">
        <v>10183</v>
      </c>
      <c r="B1167">
        <v>23</v>
      </c>
      <c r="C1167">
        <v>86.99</v>
      </c>
      <c r="D1167">
        <v>3</v>
      </c>
      <c r="E1167" s="1">
        <v>37938</v>
      </c>
      <c r="F1167" t="s">
        <v>0</v>
      </c>
      <c r="G1167">
        <v>4</v>
      </c>
      <c r="H1167">
        <v>2003</v>
      </c>
      <c r="I1167" t="s">
        <v>22</v>
      </c>
      <c r="J1167" t="s">
        <v>126</v>
      </c>
      <c r="K1167" t="s">
        <v>201</v>
      </c>
      <c r="L1167" t="s">
        <v>202</v>
      </c>
      <c r="M1167" t="s">
        <v>203</v>
      </c>
      <c r="N1167" t="s">
        <v>186</v>
      </c>
      <c r="O1167" t="s">
        <v>204</v>
      </c>
      <c r="P1167" t="s">
        <v>5</v>
      </c>
      <c r="Q1167" t="s">
        <v>6</v>
      </c>
      <c r="R1167" t="s">
        <v>342</v>
      </c>
      <c r="S1167" t="s">
        <v>7</v>
      </c>
      <c r="T1167" t="s">
        <v>334</v>
      </c>
      <c r="U1167">
        <f>Sales_Order[[#This Row],[Quantity ordered]]*Sales_Order[[#This Row],[Price each]]</f>
        <v>2000.77</v>
      </c>
    </row>
    <row r="1168" spans="1:21" x14ac:dyDescent="0.3">
      <c r="A1168">
        <v>10206</v>
      </c>
      <c r="B1168">
        <v>33</v>
      </c>
      <c r="C1168">
        <v>100</v>
      </c>
      <c r="D1168">
        <v>1</v>
      </c>
      <c r="E1168" s="1">
        <v>37753</v>
      </c>
      <c r="F1168" t="s">
        <v>0</v>
      </c>
      <c r="G1168">
        <v>4</v>
      </c>
      <c r="H1168">
        <v>2003</v>
      </c>
      <c r="I1168" t="s">
        <v>22</v>
      </c>
      <c r="J1168" t="s">
        <v>126</v>
      </c>
      <c r="K1168" t="s">
        <v>205</v>
      </c>
      <c r="L1168" t="s">
        <v>206</v>
      </c>
      <c r="M1168" t="s">
        <v>207</v>
      </c>
      <c r="N1168" t="s">
        <v>208</v>
      </c>
      <c r="O1168" t="s">
        <v>209</v>
      </c>
      <c r="P1168" t="s">
        <v>210</v>
      </c>
      <c r="Q1168" t="s">
        <v>6</v>
      </c>
      <c r="R1168" t="s">
        <v>343</v>
      </c>
      <c r="S1168" t="s">
        <v>8</v>
      </c>
      <c r="T1168" t="s">
        <v>336</v>
      </c>
      <c r="U1168">
        <f>Sales_Order[[#This Row],[Quantity ordered]]*Sales_Order[[#This Row],[Price each]]</f>
        <v>3300</v>
      </c>
    </row>
    <row r="1169" spans="1:21" x14ac:dyDescent="0.3">
      <c r="A1169">
        <v>10229</v>
      </c>
      <c r="B1169">
        <v>50</v>
      </c>
      <c r="C1169">
        <v>100</v>
      </c>
      <c r="D1169">
        <v>11</v>
      </c>
      <c r="E1169" s="1">
        <v>38294</v>
      </c>
      <c r="F1169" t="s">
        <v>0</v>
      </c>
      <c r="G1169">
        <v>1</v>
      </c>
      <c r="H1169">
        <v>2004</v>
      </c>
      <c r="I1169" t="s">
        <v>22</v>
      </c>
      <c r="J1169" t="s">
        <v>126</v>
      </c>
      <c r="K1169" t="s">
        <v>225</v>
      </c>
      <c r="L1169" t="s">
        <v>226</v>
      </c>
      <c r="M1169" t="s">
        <v>227</v>
      </c>
      <c r="N1169" t="s">
        <v>161</v>
      </c>
      <c r="O1169" t="s">
        <v>177</v>
      </c>
      <c r="P1169" t="s">
        <v>5</v>
      </c>
      <c r="Q1169" t="s">
        <v>6</v>
      </c>
      <c r="R1169" t="s">
        <v>349</v>
      </c>
      <c r="S1169" t="s">
        <v>8</v>
      </c>
      <c r="T1169" t="s">
        <v>338</v>
      </c>
      <c r="U1169">
        <f>Sales_Order[[#This Row],[Quantity ordered]]*Sales_Order[[#This Row],[Price each]]</f>
        <v>5000</v>
      </c>
    </row>
    <row r="1170" spans="1:21" x14ac:dyDescent="0.3">
      <c r="A1170">
        <v>10245</v>
      </c>
      <c r="B1170">
        <v>44</v>
      </c>
      <c r="C1170">
        <v>100</v>
      </c>
      <c r="D1170">
        <v>4</v>
      </c>
      <c r="E1170" s="1">
        <v>38082</v>
      </c>
      <c r="F1170" t="s">
        <v>0</v>
      </c>
      <c r="G1170">
        <v>2</v>
      </c>
      <c r="H1170">
        <v>2004</v>
      </c>
      <c r="I1170" t="s">
        <v>22</v>
      </c>
      <c r="J1170" t="s">
        <v>126</v>
      </c>
      <c r="K1170" t="s">
        <v>216</v>
      </c>
      <c r="L1170" t="s">
        <v>217</v>
      </c>
      <c r="M1170" t="s">
        <v>218</v>
      </c>
      <c r="N1170" t="s">
        <v>176</v>
      </c>
      <c r="O1170" t="s">
        <v>219</v>
      </c>
      <c r="P1170" t="s">
        <v>5</v>
      </c>
      <c r="Q1170" t="s">
        <v>6</v>
      </c>
      <c r="R1170" t="s">
        <v>347</v>
      </c>
      <c r="S1170" t="s">
        <v>8</v>
      </c>
      <c r="T1170" t="s">
        <v>329</v>
      </c>
      <c r="U1170">
        <f>Sales_Order[[#This Row],[Quantity ordered]]*Sales_Order[[#This Row],[Price each]]</f>
        <v>4400</v>
      </c>
    </row>
    <row r="1171" spans="1:21" x14ac:dyDescent="0.3">
      <c r="A1171">
        <v>10258</v>
      </c>
      <c r="B1171">
        <v>45</v>
      </c>
      <c r="C1171">
        <v>80.92</v>
      </c>
      <c r="D1171">
        <v>1</v>
      </c>
      <c r="E1171" s="1">
        <v>38153</v>
      </c>
      <c r="F1171" t="s">
        <v>0</v>
      </c>
      <c r="G1171">
        <v>2</v>
      </c>
      <c r="H1171">
        <v>2004</v>
      </c>
      <c r="I1171" t="s">
        <v>22</v>
      </c>
      <c r="J1171" t="s">
        <v>126</v>
      </c>
      <c r="K1171" t="s">
        <v>220</v>
      </c>
      <c r="L1171" t="s">
        <v>221</v>
      </c>
      <c r="M1171" t="s">
        <v>222</v>
      </c>
      <c r="N1171" t="s">
        <v>223</v>
      </c>
      <c r="O1171" t="s">
        <v>224</v>
      </c>
      <c r="P1171" t="s">
        <v>195</v>
      </c>
      <c r="Q1171" t="s">
        <v>195</v>
      </c>
      <c r="R1171" t="s">
        <v>348</v>
      </c>
      <c r="S1171" t="s">
        <v>8</v>
      </c>
      <c r="T1171" t="s">
        <v>331</v>
      </c>
      <c r="U1171">
        <f>Sales_Order[[#This Row],[Quantity ordered]]*Sales_Order[[#This Row],[Price each]]</f>
        <v>3641.4</v>
      </c>
    </row>
    <row r="1172" spans="1:21" x14ac:dyDescent="0.3">
      <c r="A1172">
        <v>10270</v>
      </c>
      <c r="B1172">
        <v>46</v>
      </c>
      <c r="C1172">
        <v>88</v>
      </c>
      <c r="D1172">
        <v>4</v>
      </c>
      <c r="E1172" s="1">
        <v>38187</v>
      </c>
      <c r="F1172" t="s">
        <v>0</v>
      </c>
      <c r="G1172">
        <v>3</v>
      </c>
      <c r="H1172">
        <v>2004</v>
      </c>
      <c r="I1172" t="s">
        <v>22</v>
      </c>
      <c r="J1172" t="s">
        <v>126</v>
      </c>
      <c r="K1172" t="s">
        <v>18</v>
      </c>
      <c r="L1172" t="s">
        <v>19</v>
      </c>
      <c r="M1172" t="s">
        <v>20</v>
      </c>
      <c r="N1172" t="s">
        <v>21</v>
      </c>
      <c r="O1172" t="s">
        <v>136</v>
      </c>
      <c r="P1172" t="s">
        <v>13</v>
      </c>
      <c r="Q1172" t="s">
        <v>14</v>
      </c>
      <c r="R1172" t="s">
        <v>335</v>
      </c>
      <c r="S1172" t="s">
        <v>8</v>
      </c>
      <c r="T1172" t="s">
        <v>339</v>
      </c>
      <c r="U1172">
        <f>Sales_Order[[#This Row],[Quantity ordered]]*Sales_Order[[#This Row],[Price each]]</f>
        <v>4048</v>
      </c>
    </row>
    <row r="1173" spans="1:21" x14ac:dyDescent="0.3">
      <c r="A1173">
        <v>10281</v>
      </c>
      <c r="B1173">
        <v>27</v>
      </c>
      <c r="C1173">
        <v>85.98</v>
      </c>
      <c r="D1173">
        <v>11</v>
      </c>
      <c r="E1173" s="1">
        <v>38218</v>
      </c>
      <c r="F1173" t="s">
        <v>0</v>
      </c>
      <c r="G1173">
        <v>3</v>
      </c>
      <c r="H1173">
        <v>2004</v>
      </c>
      <c r="I1173" t="s">
        <v>22</v>
      </c>
      <c r="J1173" t="s">
        <v>126</v>
      </c>
      <c r="K1173" t="s">
        <v>183</v>
      </c>
      <c r="L1173" t="s">
        <v>184</v>
      </c>
      <c r="M1173" t="s">
        <v>185</v>
      </c>
      <c r="N1173" t="s">
        <v>186</v>
      </c>
      <c r="O1173" t="s">
        <v>187</v>
      </c>
      <c r="P1173" t="s">
        <v>5</v>
      </c>
      <c r="Q1173" t="s">
        <v>6</v>
      </c>
      <c r="R1173" t="s">
        <v>333</v>
      </c>
      <c r="S1173" t="s">
        <v>7</v>
      </c>
      <c r="T1173" t="s">
        <v>322</v>
      </c>
      <c r="U1173">
        <f>Sales_Order[[#This Row],[Quantity ordered]]*Sales_Order[[#This Row],[Price each]]</f>
        <v>2321.46</v>
      </c>
    </row>
    <row r="1174" spans="1:21" x14ac:dyDescent="0.3">
      <c r="A1174">
        <v>10313</v>
      </c>
      <c r="B1174">
        <v>30</v>
      </c>
      <c r="C1174">
        <v>99.13</v>
      </c>
      <c r="D1174">
        <v>9</v>
      </c>
      <c r="E1174" s="1">
        <v>38282</v>
      </c>
      <c r="F1174" t="s">
        <v>0</v>
      </c>
      <c r="G1174">
        <v>4</v>
      </c>
      <c r="H1174">
        <v>2004</v>
      </c>
      <c r="I1174" t="s">
        <v>22</v>
      </c>
      <c r="J1174" t="s">
        <v>126</v>
      </c>
      <c r="K1174" t="s">
        <v>205</v>
      </c>
      <c r="L1174" t="s">
        <v>206</v>
      </c>
      <c r="M1174" t="s">
        <v>207</v>
      </c>
      <c r="N1174" t="s">
        <v>208</v>
      </c>
      <c r="O1174" t="s">
        <v>209</v>
      </c>
      <c r="P1174" t="s">
        <v>210</v>
      </c>
      <c r="Q1174" t="s">
        <v>6</v>
      </c>
      <c r="R1174" t="s">
        <v>343</v>
      </c>
      <c r="S1174" t="s">
        <v>7</v>
      </c>
      <c r="T1174" t="s">
        <v>324</v>
      </c>
      <c r="U1174">
        <f>Sales_Order[[#This Row],[Quantity ordered]]*Sales_Order[[#This Row],[Price each]]</f>
        <v>2973.8999999999996</v>
      </c>
    </row>
    <row r="1175" spans="1:21" x14ac:dyDescent="0.3">
      <c r="A1175">
        <v>10324</v>
      </c>
      <c r="B1175">
        <v>34</v>
      </c>
      <c r="C1175">
        <v>100</v>
      </c>
      <c r="D1175">
        <v>5</v>
      </c>
      <c r="E1175" s="1">
        <v>38118</v>
      </c>
      <c r="F1175" t="s">
        <v>0</v>
      </c>
      <c r="G1175">
        <v>4</v>
      </c>
      <c r="H1175">
        <v>2004</v>
      </c>
      <c r="I1175" t="s">
        <v>22</v>
      </c>
      <c r="J1175" t="s">
        <v>126</v>
      </c>
      <c r="K1175" t="s">
        <v>15</v>
      </c>
      <c r="L1175" t="s">
        <v>16</v>
      </c>
      <c r="M1175" t="s">
        <v>3</v>
      </c>
      <c r="N1175" t="s">
        <v>4</v>
      </c>
      <c r="O1175" t="s">
        <v>135</v>
      </c>
      <c r="P1175" t="s">
        <v>5</v>
      </c>
      <c r="Q1175" t="s">
        <v>6</v>
      </c>
      <c r="R1175" t="s">
        <v>326</v>
      </c>
      <c r="S1175" t="s">
        <v>8</v>
      </c>
      <c r="T1175" t="s">
        <v>334</v>
      </c>
      <c r="U1175">
        <f>Sales_Order[[#This Row],[Quantity ordered]]*Sales_Order[[#This Row],[Price each]]</f>
        <v>3400</v>
      </c>
    </row>
    <row r="1176" spans="1:21" x14ac:dyDescent="0.3">
      <c r="A1176">
        <v>10371</v>
      </c>
      <c r="B1176">
        <v>34</v>
      </c>
      <c r="C1176">
        <v>100</v>
      </c>
      <c r="D1176">
        <v>3</v>
      </c>
      <c r="E1176" s="1">
        <v>38375</v>
      </c>
      <c r="F1176" t="s">
        <v>0</v>
      </c>
      <c r="G1176">
        <v>1</v>
      </c>
      <c r="H1176">
        <v>2005</v>
      </c>
      <c r="I1176" t="s">
        <v>22</v>
      </c>
      <c r="J1176" t="s">
        <v>126</v>
      </c>
      <c r="K1176" t="s">
        <v>225</v>
      </c>
      <c r="L1176" t="s">
        <v>226</v>
      </c>
      <c r="M1176" t="s">
        <v>227</v>
      </c>
      <c r="N1176" t="s">
        <v>161</v>
      </c>
      <c r="O1176" t="s">
        <v>177</v>
      </c>
      <c r="P1176" t="s">
        <v>5</v>
      </c>
      <c r="Q1176" t="s">
        <v>6</v>
      </c>
      <c r="R1176" t="s">
        <v>349</v>
      </c>
      <c r="S1176" t="s">
        <v>8</v>
      </c>
      <c r="T1176" t="s">
        <v>345</v>
      </c>
      <c r="U1176">
        <f>Sales_Order[[#This Row],[Quantity ordered]]*Sales_Order[[#This Row],[Price each]]</f>
        <v>3400</v>
      </c>
    </row>
    <row r="1177" spans="1:21" x14ac:dyDescent="0.3">
      <c r="A1177">
        <v>10382</v>
      </c>
      <c r="B1177">
        <v>34</v>
      </c>
      <c r="C1177">
        <v>54.84</v>
      </c>
      <c r="D1177">
        <v>9</v>
      </c>
      <c r="E1177" s="1">
        <v>38400</v>
      </c>
      <c r="F1177" t="s">
        <v>0</v>
      </c>
      <c r="G1177">
        <v>1</v>
      </c>
      <c r="H1177">
        <v>2005</v>
      </c>
      <c r="I1177" t="s">
        <v>22</v>
      </c>
      <c r="J1177" t="s">
        <v>126</v>
      </c>
      <c r="K1177" t="s">
        <v>225</v>
      </c>
      <c r="L1177" t="s">
        <v>226</v>
      </c>
      <c r="M1177" t="s">
        <v>227</v>
      </c>
      <c r="N1177" t="s">
        <v>161</v>
      </c>
      <c r="O1177" t="s">
        <v>177</v>
      </c>
      <c r="P1177" t="s">
        <v>5</v>
      </c>
      <c r="Q1177" t="s">
        <v>6</v>
      </c>
      <c r="R1177" t="s">
        <v>349</v>
      </c>
      <c r="S1177" t="s">
        <v>7</v>
      </c>
      <c r="T1177" t="s">
        <v>320</v>
      </c>
      <c r="U1177">
        <f>Sales_Order[[#This Row],[Quantity ordered]]*Sales_Order[[#This Row],[Price each]]</f>
        <v>1864.5600000000002</v>
      </c>
    </row>
    <row r="1178" spans="1:21" x14ac:dyDescent="0.3">
      <c r="A1178">
        <v>10411</v>
      </c>
      <c r="B1178">
        <v>34</v>
      </c>
      <c r="C1178">
        <v>100</v>
      </c>
      <c r="D1178">
        <v>4</v>
      </c>
      <c r="E1178" s="1">
        <v>38357</v>
      </c>
      <c r="F1178" t="s">
        <v>0</v>
      </c>
      <c r="G1178">
        <v>2</v>
      </c>
      <c r="H1178">
        <v>2005</v>
      </c>
      <c r="I1178" t="s">
        <v>22</v>
      </c>
      <c r="J1178" t="s">
        <v>126</v>
      </c>
      <c r="K1178" t="s">
        <v>237</v>
      </c>
      <c r="L1178" t="s">
        <v>238</v>
      </c>
      <c r="M1178" t="s">
        <v>239</v>
      </c>
      <c r="N1178" t="s">
        <v>240</v>
      </c>
      <c r="O1178" t="s">
        <v>241</v>
      </c>
      <c r="P1178" t="s">
        <v>210</v>
      </c>
      <c r="Q1178" t="s">
        <v>6</v>
      </c>
      <c r="R1178" t="s">
        <v>353</v>
      </c>
      <c r="S1178" t="s">
        <v>8</v>
      </c>
      <c r="T1178" t="s">
        <v>329</v>
      </c>
      <c r="U1178">
        <f>Sales_Order[[#This Row],[Quantity ordered]]*Sales_Order[[#This Row],[Price each]]</f>
        <v>3400</v>
      </c>
    </row>
    <row r="1179" spans="1:21" x14ac:dyDescent="0.3">
      <c r="A1179">
        <v>10120</v>
      </c>
      <c r="B1179">
        <v>24</v>
      </c>
      <c r="C1179">
        <v>100</v>
      </c>
      <c r="D1179">
        <v>7</v>
      </c>
      <c r="E1179" s="1">
        <v>37740</v>
      </c>
      <c r="F1179" t="s">
        <v>0</v>
      </c>
      <c r="G1179">
        <v>2</v>
      </c>
      <c r="H1179">
        <v>2003</v>
      </c>
      <c r="I1179" t="s">
        <v>53</v>
      </c>
      <c r="J1179" t="s">
        <v>127</v>
      </c>
      <c r="K1179" t="s">
        <v>9</v>
      </c>
      <c r="L1179" t="s">
        <v>10</v>
      </c>
      <c r="M1179" t="s">
        <v>11</v>
      </c>
      <c r="N1179" t="s">
        <v>12</v>
      </c>
      <c r="O1179" t="s">
        <v>134</v>
      </c>
      <c r="P1179" t="s">
        <v>13</v>
      </c>
      <c r="Q1179" t="s">
        <v>14</v>
      </c>
      <c r="R1179" t="s">
        <v>325</v>
      </c>
      <c r="S1179" t="s">
        <v>8</v>
      </c>
      <c r="T1179" t="s">
        <v>327</v>
      </c>
      <c r="U1179">
        <f>Sales_Order[[#This Row],[Quantity ordered]]*Sales_Order[[#This Row],[Price each]]</f>
        <v>2400</v>
      </c>
    </row>
    <row r="1180" spans="1:21" x14ac:dyDescent="0.3">
      <c r="A1180">
        <v>10145</v>
      </c>
      <c r="B1180">
        <v>20</v>
      </c>
      <c r="C1180">
        <v>100</v>
      </c>
      <c r="D1180">
        <v>13</v>
      </c>
      <c r="E1180" s="1">
        <v>37858</v>
      </c>
      <c r="F1180" t="s">
        <v>0</v>
      </c>
      <c r="G1180">
        <v>3</v>
      </c>
      <c r="H1180">
        <v>2003</v>
      </c>
      <c r="I1180" t="s">
        <v>53</v>
      </c>
      <c r="J1180" t="s">
        <v>127</v>
      </c>
      <c r="K1180" t="s">
        <v>158</v>
      </c>
      <c r="L1180" t="s">
        <v>159</v>
      </c>
      <c r="M1180" t="s">
        <v>160</v>
      </c>
      <c r="N1180" t="s">
        <v>161</v>
      </c>
      <c r="O1180" t="s">
        <v>162</v>
      </c>
      <c r="P1180" t="s">
        <v>5</v>
      </c>
      <c r="Q1180" t="s">
        <v>6</v>
      </c>
      <c r="R1180" t="s">
        <v>321</v>
      </c>
      <c r="S1180" t="s">
        <v>7</v>
      </c>
      <c r="T1180" t="s">
        <v>322</v>
      </c>
      <c r="U1180">
        <f>Sales_Order[[#This Row],[Quantity ordered]]*Sales_Order[[#This Row],[Price each]]</f>
        <v>2000</v>
      </c>
    </row>
    <row r="1181" spans="1:21" x14ac:dyDescent="0.3">
      <c r="A1181">
        <v>10168</v>
      </c>
      <c r="B1181">
        <v>36</v>
      </c>
      <c r="C1181">
        <v>100</v>
      </c>
      <c r="D1181">
        <v>8</v>
      </c>
      <c r="E1181" s="1">
        <v>37922</v>
      </c>
      <c r="F1181" t="s">
        <v>0</v>
      </c>
      <c r="G1181">
        <v>4</v>
      </c>
      <c r="H1181">
        <v>2003</v>
      </c>
      <c r="I1181" t="s">
        <v>53</v>
      </c>
      <c r="J1181" t="s">
        <v>127</v>
      </c>
      <c r="K1181" t="s">
        <v>163</v>
      </c>
      <c r="L1181" t="s">
        <v>164</v>
      </c>
      <c r="M1181" t="s">
        <v>165</v>
      </c>
      <c r="N1181" t="s">
        <v>161</v>
      </c>
      <c r="O1181" t="s">
        <v>166</v>
      </c>
      <c r="P1181" t="s">
        <v>5</v>
      </c>
      <c r="Q1181" t="s">
        <v>6</v>
      </c>
      <c r="R1181" t="s">
        <v>323</v>
      </c>
      <c r="S1181" t="s">
        <v>8</v>
      </c>
      <c r="T1181" t="s">
        <v>324</v>
      </c>
      <c r="U1181">
        <f>Sales_Order[[#This Row],[Quantity ordered]]*Sales_Order[[#This Row],[Price each]]</f>
        <v>3600</v>
      </c>
    </row>
    <row r="1182" spans="1:21" x14ac:dyDescent="0.3">
      <c r="A1182">
        <v>10210</v>
      </c>
      <c r="B1182">
        <v>25</v>
      </c>
      <c r="C1182">
        <v>100</v>
      </c>
      <c r="D1182">
        <v>6</v>
      </c>
      <c r="E1182" s="1">
        <v>38322</v>
      </c>
      <c r="F1182" t="s">
        <v>0</v>
      </c>
      <c r="G1182">
        <v>1</v>
      </c>
      <c r="H1182">
        <v>2004</v>
      </c>
      <c r="I1182" t="s">
        <v>53</v>
      </c>
      <c r="J1182" t="s">
        <v>127</v>
      </c>
      <c r="K1182" t="s">
        <v>242</v>
      </c>
      <c r="L1182" t="s">
        <v>243</v>
      </c>
      <c r="M1182" t="s">
        <v>244</v>
      </c>
      <c r="N1182" t="s">
        <v>244</v>
      </c>
      <c r="O1182" t="s">
        <v>245</v>
      </c>
      <c r="P1182" t="s">
        <v>195</v>
      </c>
      <c r="Q1182" t="s">
        <v>195</v>
      </c>
      <c r="R1182" t="s">
        <v>354</v>
      </c>
      <c r="S1182" t="s">
        <v>7</v>
      </c>
      <c r="T1182" t="s">
        <v>345</v>
      </c>
      <c r="U1182">
        <f>Sales_Order[[#This Row],[Quantity ordered]]*Sales_Order[[#This Row],[Price each]]</f>
        <v>2500</v>
      </c>
    </row>
    <row r="1183" spans="1:21" x14ac:dyDescent="0.3">
      <c r="A1183">
        <v>10223</v>
      </c>
      <c r="B1183">
        <v>29</v>
      </c>
      <c r="C1183">
        <v>100</v>
      </c>
      <c r="D1183">
        <v>8</v>
      </c>
      <c r="E1183" s="1">
        <v>38037</v>
      </c>
      <c r="F1183" t="s">
        <v>0</v>
      </c>
      <c r="G1183">
        <v>1</v>
      </c>
      <c r="H1183">
        <v>2004</v>
      </c>
      <c r="I1183" t="s">
        <v>53</v>
      </c>
      <c r="J1183" t="s">
        <v>127</v>
      </c>
      <c r="K1183" t="s">
        <v>9</v>
      </c>
      <c r="L1183" t="s">
        <v>10</v>
      </c>
      <c r="M1183" t="s">
        <v>11</v>
      </c>
      <c r="N1183" t="s">
        <v>12</v>
      </c>
      <c r="O1183" t="s">
        <v>134</v>
      </c>
      <c r="P1183" t="s">
        <v>13</v>
      </c>
      <c r="Q1183" t="s">
        <v>14</v>
      </c>
      <c r="R1183" t="s">
        <v>325</v>
      </c>
      <c r="S1183" t="s">
        <v>8</v>
      </c>
      <c r="T1183" t="s">
        <v>320</v>
      </c>
      <c r="U1183">
        <f>Sales_Order[[#This Row],[Quantity ordered]]*Sales_Order[[#This Row],[Price each]]</f>
        <v>2900</v>
      </c>
    </row>
    <row r="1184" spans="1:21" x14ac:dyDescent="0.3">
      <c r="A1184">
        <v>10235</v>
      </c>
      <c r="B1184">
        <v>25</v>
      </c>
      <c r="C1184">
        <v>96.11</v>
      </c>
      <c r="D1184">
        <v>2</v>
      </c>
      <c r="E1184" s="1">
        <v>38021</v>
      </c>
      <c r="F1184" t="s">
        <v>0</v>
      </c>
      <c r="G1184">
        <v>2</v>
      </c>
      <c r="H1184">
        <v>2004</v>
      </c>
      <c r="I1184" t="s">
        <v>53</v>
      </c>
      <c r="J1184" t="s">
        <v>127</v>
      </c>
      <c r="K1184" t="s">
        <v>259</v>
      </c>
      <c r="L1184" t="s">
        <v>260</v>
      </c>
      <c r="M1184" t="s">
        <v>261</v>
      </c>
      <c r="N1184" t="s">
        <v>208</v>
      </c>
      <c r="O1184" t="s">
        <v>262</v>
      </c>
      <c r="P1184" t="s">
        <v>210</v>
      </c>
      <c r="Q1184" t="s">
        <v>6</v>
      </c>
      <c r="R1184" t="s">
        <v>359</v>
      </c>
      <c r="S1184" t="s">
        <v>7</v>
      </c>
      <c r="T1184" t="s">
        <v>327</v>
      </c>
      <c r="U1184">
        <f>Sales_Order[[#This Row],[Quantity ordered]]*Sales_Order[[#This Row],[Price each]]</f>
        <v>2402.75</v>
      </c>
    </row>
    <row r="1185" spans="1:21" x14ac:dyDescent="0.3">
      <c r="A1185">
        <v>10250</v>
      </c>
      <c r="B1185">
        <v>44</v>
      </c>
      <c r="C1185">
        <v>100</v>
      </c>
      <c r="D1185">
        <v>3</v>
      </c>
      <c r="E1185" s="1">
        <v>38296</v>
      </c>
      <c r="F1185" t="s">
        <v>0</v>
      </c>
      <c r="G1185">
        <v>2</v>
      </c>
      <c r="H1185">
        <v>2004</v>
      </c>
      <c r="I1185" t="s">
        <v>53</v>
      </c>
      <c r="J1185" t="s">
        <v>127</v>
      </c>
      <c r="K1185" t="s">
        <v>272</v>
      </c>
      <c r="L1185" t="s">
        <v>273</v>
      </c>
      <c r="M1185" t="s">
        <v>274</v>
      </c>
      <c r="N1185" t="s">
        <v>161</v>
      </c>
      <c r="O1185" t="s">
        <v>166</v>
      </c>
      <c r="P1185" t="s">
        <v>5</v>
      </c>
      <c r="Q1185" t="s">
        <v>6</v>
      </c>
      <c r="R1185" t="s">
        <v>363</v>
      </c>
      <c r="S1185" t="s">
        <v>8</v>
      </c>
      <c r="T1185" t="s">
        <v>329</v>
      </c>
      <c r="U1185">
        <f>Sales_Order[[#This Row],[Quantity ordered]]*Sales_Order[[#This Row],[Price each]]</f>
        <v>4400</v>
      </c>
    </row>
    <row r="1186" spans="1:21" x14ac:dyDescent="0.3">
      <c r="A1186">
        <v>10263</v>
      </c>
      <c r="B1186">
        <v>47</v>
      </c>
      <c r="C1186">
        <v>100</v>
      </c>
      <c r="D1186">
        <v>9</v>
      </c>
      <c r="E1186" s="1">
        <v>38166</v>
      </c>
      <c r="F1186" t="s">
        <v>0</v>
      </c>
      <c r="G1186">
        <v>2</v>
      </c>
      <c r="H1186">
        <v>2004</v>
      </c>
      <c r="I1186" t="s">
        <v>53</v>
      </c>
      <c r="J1186" t="s">
        <v>127</v>
      </c>
      <c r="K1186" t="s">
        <v>173</v>
      </c>
      <c r="L1186" t="s">
        <v>174</v>
      </c>
      <c r="M1186" t="s">
        <v>175</v>
      </c>
      <c r="N1186" t="s">
        <v>176</v>
      </c>
      <c r="O1186" t="s">
        <v>177</v>
      </c>
      <c r="P1186" t="s">
        <v>5</v>
      </c>
      <c r="Q1186" t="s">
        <v>6</v>
      </c>
      <c r="R1186" t="s">
        <v>330</v>
      </c>
      <c r="S1186" t="s">
        <v>8</v>
      </c>
      <c r="T1186" t="s">
        <v>331</v>
      </c>
      <c r="U1186">
        <f>Sales_Order[[#This Row],[Quantity ordered]]*Sales_Order[[#This Row],[Price each]]</f>
        <v>4700</v>
      </c>
    </row>
    <row r="1187" spans="1:21" x14ac:dyDescent="0.3">
      <c r="A1187">
        <v>10285</v>
      </c>
      <c r="B1187">
        <v>45</v>
      </c>
      <c r="C1187">
        <v>100</v>
      </c>
      <c r="D1187">
        <v>13</v>
      </c>
      <c r="E1187" s="1">
        <v>38226</v>
      </c>
      <c r="F1187" t="s">
        <v>0</v>
      </c>
      <c r="G1187">
        <v>3</v>
      </c>
      <c r="H1187">
        <v>2004</v>
      </c>
      <c r="I1187" t="s">
        <v>53</v>
      </c>
      <c r="J1187" t="s">
        <v>127</v>
      </c>
      <c r="K1187" t="s">
        <v>178</v>
      </c>
      <c r="L1187" t="s">
        <v>179</v>
      </c>
      <c r="M1187" t="s">
        <v>180</v>
      </c>
      <c r="N1187" t="s">
        <v>181</v>
      </c>
      <c r="O1187" t="s">
        <v>182</v>
      </c>
      <c r="P1187" t="s">
        <v>5</v>
      </c>
      <c r="Q1187" t="s">
        <v>6</v>
      </c>
      <c r="R1187" t="s">
        <v>332</v>
      </c>
      <c r="S1187" t="s">
        <v>8</v>
      </c>
      <c r="T1187" t="s">
        <v>322</v>
      </c>
      <c r="U1187">
        <f>Sales_Order[[#This Row],[Quantity ordered]]*Sales_Order[[#This Row],[Price each]]</f>
        <v>4500</v>
      </c>
    </row>
    <row r="1188" spans="1:21" x14ac:dyDescent="0.3">
      <c r="A1188">
        <v>10308</v>
      </c>
      <c r="B1188">
        <v>31</v>
      </c>
      <c r="C1188">
        <v>100</v>
      </c>
      <c r="D1188">
        <v>6</v>
      </c>
      <c r="E1188" s="1">
        <v>38275</v>
      </c>
      <c r="F1188" t="s">
        <v>0</v>
      </c>
      <c r="G1188">
        <v>4</v>
      </c>
      <c r="H1188">
        <v>2004</v>
      </c>
      <c r="I1188" t="s">
        <v>53</v>
      </c>
      <c r="J1188" t="s">
        <v>127</v>
      </c>
      <c r="K1188" t="s">
        <v>248</v>
      </c>
      <c r="L1188" t="s">
        <v>249</v>
      </c>
      <c r="M1188" t="s">
        <v>250</v>
      </c>
      <c r="N1188" t="s">
        <v>4</v>
      </c>
      <c r="O1188" t="s">
        <v>251</v>
      </c>
      <c r="P1188" t="s">
        <v>5</v>
      </c>
      <c r="Q1188" t="s">
        <v>6</v>
      </c>
      <c r="R1188" t="s">
        <v>356</v>
      </c>
      <c r="S1188" t="s">
        <v>8</v>
      </c>
      <c r="T1188" t="s">
        <v>324</v>
      </c>
      <c r="U1188">
        <f>Sales_Order[[#This Row],[Quantity ordered]]*Sales_Order[[#This Row],[Price each]]</f>
        <v>3100</v>
      </c>
    </row>
    <row r="1189" spans="1:21" x14ac:dyDescent="0.3">
      <c r="A1189">
        <v>10318</v>
      </c>
      <c r="B1189">
        <v>50</v>
      </c>
      <c r="C1189">
        <v>100</v>
      </c>
      <c r="D1189">
        <v>8</v>
      </c>
      <c r="E1189" s="1">
        <v>38028</v>
      </c>
      <c r="F1189" t="s">
        <v>0</v>
      </c>
      <c r="G1189">
        <v>4</v>
      </c>
      <c r="H1189">
        <v>2004</v>
      </c>
      <c r="I1189" t="s">
        <v>53</v>
      </c>
      <c r="J1189" t="s">
        <v>127</v>
      </c>
      <c r="K1189" t="s">
        <v>183</v>
      </c>
      <c r="L1189" t="s">
        <v>184</v>
      </c>
      <c r="M1189" t="s">
        <v>185</v>
      </c>
      <c r="N1189" t="s">
        <v>186</v>
      </c>
      <c r="O1189" t="s">
        <v>187</v>
      </c>
      <c r="P1189" t="s">
        <v>5</v>
      </c>
      <c r="Q1189" t="s">
        <v>6</v>
      </c>
      <c r="R1189" t="s">
        <v>333</v>
      </c>
      <c r="S1189" t="s">
        <v>17</v>
      </c>
      <c r="T1189" t="s">
        <v>334</v>
      </c>
      <c r="U1189">
        <f>Sales_Order[[#This Row],[Quantity ordered]]*Sales_Order[[#This Row],[Price each]]</f>
        <v>5000</v>
      </c>
    </row>
    <row r="1190" spans="1:21" x14ac:dyDescent="0.3">
      <c r="A1190">
        <v>10353</v>
      </c>
      <c r="B1190">
        <v>48</v>
      </c>
      <c r="C1190">
        <v>68.8</v>
      </c>
      <c r="D1190">
        <v>4</v>
      </c>
      <c r="E1190" s="1">
        <v>38089</v>
      </c>
      <c r="F1190" t="s">
        <v>0</v>
      </c>
      <c r="G1190">
        <v>4</v>
      </c>
      <c r="H1190">
        <v>2004</v>
      </c>
      <c r="I1190" t="s">
        <v>53</v>
      </c>
      <c r="J1190" t="s">
        <v>127</v>
      </c>
      <c r="K1190" t="s">
        <v>301</v>
      </c>
      <c r="L1190" t="s">
        <v>302</v>
      </c>
      <c r="M1190" t="s">
        <v>284</v>
      </c>
      <c r="N1190" t="s">
        <v>176</v>
      </c>
      <c r="O1190" t="s">
        <v>303</v>
      </c>
      <c r="P1190" t="s">
        <v>5</v>
      </c>
      <c r="Q1190" t="s">
        <v>6</v>
      </c>
      <c r="R1190" t="s">
        <v>372</v>
      </c>
      <c r="S1190" t="s">
        <v>8</v>
      </c>
      <c r="T1190" t="s">
        <v>336</v>
      </c>
      <c r="U1190">
        <f>Sales_Order[[#This Row],[Quantity ordered]]*Sales_Order[[#This Row],[Price each]]</f>
        <v>3302.3999999999996</v>
      </c>
    </row>
    <row r="1191" spans="1:21" x14ac:dyDescent="0.3">
      <c r="A1191">
        <v>10361</v>
      </c>
      <c r="B1191">
        <v>44</v>
      </c>
      <c r="C1191">
        <v>72.42</v>
      </c>
      <c r="D1191">
        <v>5</v>
      </c>
      <c r="E1191" s="1">
        <v>38338</v>
      </c>
      <c r="F1191" t="s">
        <v>0</v>
      </c>
      <c r="G1191">
        <v>4</v>
      </c>
      <c r="H1191">
        <v>2004</v>
      </c>
      <c r="I1191" t="s">
        <v>53</v>
      </c>
      <c r="J1191" t="s">
        <v>127</v>
      </c>
      <c r="K1191" t="s">
        <v>18</v>
      </c>
      <c r="L1191" t="s">
        <v>19</v>
      </c>
      <c r="M1191" t="s">
        <v>20</v>
      </c>
      <c r="N1191" t="s">
        <v>21</v>
      </c>
      <c r="O1191" t="s">
        <v>136</v>
      </c>
      <c r="P1191" t="s">
        <v>13</v>
      </c>
      <c r="Q1191" t="s">
        <v>14</v>
      </c>
      <c r="R1191" t="s">
        <v>335</v>
      </c>
      <c r="S1191" t="s">
        <v>8</v>
      </c>
      <c r="T1191" t="s">
        <v>336</v>
      </c>
      <c r="U1191">
        <f>Sales_Order[[#This Row],[Quantity ordered]]*Sales_Order[[#This Row],[Price each]]</f>
        <v>3186.48</v>
      </c>
    </row>
    <row r="1192" spans="1:21" x14ac:dyDescent="0.3">
      <c r="A1192">
        <v>10388</v>
      </c>
      <c r="B1192">
        <v>50</v>
      </c>
      <c r="C1192">
        <v>100</v>
      </c>
      <c r="D1192">
        <v>3</v>
      </c>
      <c r="E1192" s="1">
        <v>38414</v>
      </c>
      <c r="F1192" t="s">
        <v>0</v>
      </c>
      <c r="G1192">
        <v>1</v>
      </c>
      <c r="H1192">
        <v>2005</v>
      </c>
      <c r="I1192" t="s">
        <v>53</v>
      </c>
      <c r="J1192" t="s">
        <v>127</v>
      </c>
      <c r="K1192" t="s">
        <v>189</v>
      </c>
      <c r="L1192" t="s">
        <v>190</v>
      </c>
      <c r="M1192" t="s">
        <v>191</v>
      </c>
      <c r="N1192" t="s">
        <v>181</v>
      </c>
      <c r="O1192" t="s">
        <v>192</v>
      </c>
      <c r="P1192" t="s">
        <v>5</v>
      </c>
      <c r="Q1192" t="s">
        <v>6</v>
      </c>
      <c r="R1192" t="s">
        <v>337</v>
      </c>
      <c r="S1192" t="s">
        <v>17</v>
      </c>
      <c r="T1192" t="s">
        <v>338</v>
      </c>
      <c r="U1192">
        <f>Sales_Order[[#This Row],[Quantity ordered]]*Sales_Order[[#This Row],[Price each]]</f>
        <v>5000</v>
      </c>
    </row>
    <row r="1193" spans="1:21" x14ac:dyDescent="0.3">
      <c r="A1193">
        <v>10401</v>
      </c>
      <c r="B1193">
        <v>21</v>
      </c>
      <c r="C1193">
        <v>96.11</v>
      </c>
      <c r="D1193">
        <v>2</v>
      </c>
      <c r="E1193" s="1">
        <v>38415</v>
      </c>
      <c r="F1193" t="s">
        <v>275</v>
      </c>
      <c r="G1193">
        <v>2</v>
      </c>
      <c r="H1193">
        <v>2005</v>
      </c>
      <c r="I1193" t="s">
        <v>53</v>
      </c>
      <c r="J1193" t="s">
        <v>127</v>
      </c>
      <c r="K1193" t="s">
        <v>168</v>
      </c>
      <c r="L1193" t="s">
        <v>169</v>
      </c>
      <c r="M1193" t="s">
        <v>170</v>
      </c>
      <c r="N1193" t="s">
        <v>171</v>
      </c>
      <c r="O1193" t="s">
        <v>172</v>
      </c>
      <c r="P1193" t="s">
        <v>5</v>
      </c>
      <c r="Q1193" t="s">
        <v>6</v>
      </c>
      <c r="R1193" t="s">
        <v>328</v>
      </c>
      <c r="S1193" t="s">
        <v>7</v>
      </c>
      <c r="T1193" t="s">
        <v>327</v>
      </c>
      <c r="U1193">
        <f>Sales_Order[[#This Row],[Quantity ordered]]*Sales_Order[[#This Row],[Price each]]</f>
        <v>2018.31</v>
      </c>
    </row>
    <row r="1194" spans="1:21" x14ac:dyDescent="0.3">
      <c r="A1194">
        <v>10120</v>
      </c>
      <c r="B1194">
        <v>43</v>
      </c>
      <c r="C1194">
        <v>76</v>
      </c>
      <c r="D1194">
        <v>14</v>
      </c>
      <c r="E1194" s="1">
        <v>37740</v>
      </c>
      <c r="F1194" t="s">
        <v>0</v>
      </c>
      <c r="G1194">
        <v>2</v>
      </c>
      <c r="H1194">
        <v>2003</v>
      </c>
      <c r="I1194" t="s">
        <v>53</v>
      </c>
      <c r="J1194" t="s">
        <v>128</v>
      </c>
      <c r="K1194" t="s">
        <v>9</v>
      </c>
      <c r="L1194" t="s">
        <v>10</v>
      </c>
      <c r="M1194" t="s">
        <v>11</v>
      </c>
      <c r="N1194" t="s">
        <v>12</v>
      </c>
      <c r="O1194" t="s">
        <v>134</v>
      </c>
      <c r="P1194" t="s">
        <v>13</v>
      </c>
      <c r="Q1194" t="s">
        <v>14</v>
      </c>
      <c r="R1194" t="s">
        <v>325</v>
      </c>
      <c r="S1194" t="s">
        <v>8</v>
      </c>
      <c r="T1194" t="s">
        <v>327</v>
      </c>
      <c r="U1194">
        <f>Sales_Order[[#This Row],[Quantity ordered]]*Sales_Order[[#This Row],[Price each]]</f>
        <v>3268</v>
      </c>
    </row>
    <row r="1195" spans="1:21" x14ac:dyDescent="0.3">
      <c r="A1195">
        <v>10143</v>
      </c>
      <c r="B1195">
        <v>28</v>
      </c>
      <c r="C1195">
        <v>96</v>
      </c>
      <c r="D1195">
        <v>3</v>
      </c>
      <c r="E1195" s="1">
        <v>37902</v>
      </c>
      <c r="F1195" t="s">
        <v>0</v>
      </c>
      <c r="G1195">
        <v>3</v>
      </c>
      <c r="H1195">
        <v>2003</v>
      </c>
      <c r="I1195" t="s">
        <v>53</v>
      </c>
      <c r="J1195" t="s">
        <v>128</v>
      </c>
      <c r="K1195" t="s">
        <v>252</v>
      </c>
      <c r="L1195" t="s">
        <v>253</v>
      </c>
      <c r="M1195" t="s">
        <v>191</v>
      </c>
      <c r="N1195" t="s">
        <v>181</v>
      </c>
      <c r="O1195" t="s">
        <v>192</v>
      </c>
      <c r="P1195" t="s">
        <v>5</v>
      </c>
      <c r="Q1195" t="s">
        <v>6</v>
      </c>
      <c r="R1195" t="s">
        <v>357</v>
      </c>
      <c r="S1195" t="s">
        <v>7</v>
      </c>
      <c r="T1195" t="s">
        <v>322</v>
      </c>
      <c r="U1195">
        <f>Sales_Order[[#This Row],[Quantity ordered]]*Sales_Order[[#This Row],[Price each]]</f>
        <v>2688</v>
      </c>
    </row>
    <row r="1196" spans="1:21" x14ac:dyDescent="0.3">
      <c r="A1196">
        <v>10168</v>
      </c>
      <c r="B1196">
        <v>48</v>
      </c>
      <c r="C1196">
        <v>96</v>
      </c>
      <c r="D1196">
        <v>15</v>
      </c>
      <c r="E1196" s="1">
        <v>37922</v>
      </c>
      <c r="F1196" t="s">
        <v>0</v>
      </c>
      <c r="G1196">
        <v>4</v>
      </c>
      <c r="H1196">
        <v>2003</v>
      </c>
      <c r="I1196" t="s">
        <v>53</v>
      </c>
      <c r="J1196" t="s">
        <v>128</v>
      </c>
      <c r="K1196" t="s">
        <v>163</v>
      </c>
      <c r="L1196" t="s">
        <v>164</v>
      </c>
      <c r="M1196" t="s">
        <v>165</v>
      </c>
      <c r="N1196" t="s">
        <v>161</v>
      </c>
      <c r="O1196" t="s">
        <v>166</v>
      </c>
      <c r="P1196" t="s">
        <v>5</v>
      </c>
      <c r="Q1196" t="s">
        <v>6</v>
      </c>
      <c r="R1196" t="s">
        <v>323</v>
      </c>
      <c r="S1196" t="s">
        <v>8</v>
      </c>
      <c r="T1196" t="s">
        <v>324</v>
      </c>
      <c r="U1196">
        <f>Sales_Order[[#This Row],[Quantity ordered]]*Sales_Order[[#This Row],[Price each]]</f>
        <v>4608</v>
      </c>
    </row>
    <row r="1197" spans="1:21" x14ac:dyDescent="0.3">
      <c r="A1197">
        <v>10199</v>
      </c>
      <c r="B1197">
        <v>38</v>
      </c>
      <c r="C1197">
        <v>82.4</v>
      </c>
      <c r="D1197">
        <v>3</v>
      </c>
      <c r="E1197" s="1">
        <v>37633</v>
      </c>
      <c r="F1197" t="s">
        <v>0</v>
      </c>
      <c r="G1197">
        <v>4</v>
      </c>
      <c r="H1197">
        <v>2003</v>
      </c>
      <c r="I1197" t="s">
        <v>53</v>
      </c>
      <c r="J1197" t="s">
        <v>128</v>
      </c>
      <c r="K1197" t="s">
        <v>211</v>
      </c>
      <c r="L1197" t="s">
        <v>212</v>
      </c>
      <c r="M1197" t="s">
        <v>213</v>
      </c>
      <c r="N1197" t="s">
        <v>161</v>
      </c>
      <c r="O1197" t="s">
        <v>172</v>
      </c>
      <c r="P1197" t="s">
        <v>5</v>
      </c>
      <c r="Q1197" t="s">
        <v>6</v>
      </c>
      <c r="R1197" t="s">
        <v>344</v>
      </c>
      <c r="S1197" t="s">
        <v>8</v>
      </c>
      <c r="T1197" t="s">
        <v>336</v>
      </c>
      <c r="U1197">
        <f>Sales_Order[[#This Row],[Quantity ordered]]*Sales_Order[[#This Row],[Price each]]</f>
        <v>3131.2000000000003</v>
      </c>
    </row>
    <row r="1198" spans="1:21" x14ac:dyDescent="0.3">
      <c r="A1198">
        <v>10210</v>
      </c>
      <c r="B1198">
        <v>31</v>
      </c>
      <c r="C1198">
        <v>86.4</v>
      </c>
      <c r="D1198">
        <v>13</v>
      </c>
      <c r="E1198" s="1">
        <v>38322</v>
      </c>
      <c r="F1198" t="s">
        <v>0</v>
      </c>
      <c r="G1198">
        <v>1</v>
      </c>
      <c r="H1198">
        <v>2004</v>
      </c>
      <c r="I1198" t="s">
        <v>53</v>
      </c>
      <c r="J1198" t="s">
        <v>128</v>
      </c>
      <c r="K1198" t="s">
        <v>242</v>
      </c>
      <c r="L1198" t="s">
        <v>243</v>
      </c>
      <c r="M1198" t="s">
        <v>244</v>
      </c>
      <c r="N1198" t="s">
        <v>244</v>
      </c>
      <c r="O1198" t="s">
        <v>245</v>
      </c>
      <c r="P1198" t="s">
        <v>195</v>
      </c>
      <c r="Q1198" t="s">
        <v>195</v>
      </c>
      <c r="R1198" t="s">
        <v>354</v>
      </c>
      <c r="S1198" t="s">
        <v>7</v>
      </c>
      <c r="T1198" t="s">
        <v>345</v>
      </c>
      <c r="U1198">
        <f>Sales_Order[[#This Row],[Quantity ordered]]*Sales_Order[[#This Row],[Price each]]</f>
        <v>2678.4</v>
      </c>
    </row>
    <row r="1199" spans="1:21" x14ac:dyDescent="0.3">
      <c r="A1199">
        <v>10223</v>
      </c>
      <c r="B1199">
        <v>26</v>
      </c>
      <c r="C1199">
        <v>67.2</v>
      </c>
      <c r="D1199">
        <v>15</v>
      </c>
      <c r="E1199" s="1">
        <v>38037</v>
      </c>
      <c r="F1199" t="s">
        <v>0</v>
      </c>
      <c r="G1199">
        <v>1</v>
      </c>
      <c r="H1199">
        <v>2004</v>
      </c>
      <c r="I1199" t="s">
        <v>53</v>
      </c>
      <c r="J1199" t="s">
        <v>128</v>
      </c>
      <c r="K1199" t="s">
        <v>9</v>
      </c>
      <c r="L1199" t="s">
        <v>10</v>
      </c>
      <c r="M1199" t="s">
        <v>11</v>
      </c>
      <c r="N1199" t="s">
        <v>12</v>
      </c>
      <c r="O1199" t="s">
        <v>134</v>
      </c>
      <c r="P1199" t="s">
        <v>13</v>
      </c>
      <c r="Q1199" t="s">
        <v>14</v>
      </c>
      <c r="R1199" t="s">
        <v>325</v>
      </c>
      <c r="S1199" t="s">
        <v>7</v>
      </c>
      <c r="T1199" t="s">
        <v>320</v>
      </c>
      <c r="U1199">
        <f>Sales_Order[[#This Row],[Quantity ordered]]*Sales_Order[[#This Row],[Price each]]</f>
        <v>1747.2</v>
      </c>
    </row>
    <row r="1200" spans="1:21" x14ac:dyDescent="0.3">
      <c r="A1200">
        <v>10235</v>
      </c>
      <c r="B1200">
        <v>32</v>
      </c>
      <c r="C1200">
        <v>92</v>
      </c>
      <c r="D1200">
        <v>9</v>
      </c>
      <c r="E1200" s="1">
        <v>38021</v>
      </c>
      <c r="F1200" t="s">
        <v>0</v>
      </c>
      <c r="G1200">
        <v>2</v>
      </c>
      <c r="H1200">
        <v>2004</v>
      </c>
      <c r="I1200" t="s">
        <v>53</v>
      </c>
      <c r="J1200" t="s">
        <v>128</v>
      </c>
      <c r="K1200" t="s">
        <v>259</v>
      </c>
      <c r="L1200" t="s">
        <v>260</v>
      </c>
      <c r="M1200" t="s">
        <v>261</v>
      </c>
      <c r="N1200" t="s">
        <v>208</v>
      </c>
      <c r="O1200" t="s">
        <v>262</v>
      </c>
      <c r="P1200" t="s">
        <v>210</v>
      </c>
      <c r="Q1200" t="s">
        <v>6</v>
      </c>
      <c r="R1200" t="s">
        <v>359</v>
      </c>
      <c r="S1200" t="s">
        <v>7</v>
      </c>
      <c r="T1200" t="s">
        <v>327</v>
      </c>
      <c r="U1200">
        <f>Sales_Order[[#This Row],[Quantity ordered]]*Sales_Order[[#This Row],[Price each]]</f>
        <v>2944</v>
      </c>
    </row>
    <row r="1201" spans="1:21" x14ac:dyDescent="0.3">
      <c r="A1201">
        <v>10250</v>
      </c>
      <c r="B1201">
        <v>44</v>
      </c>
      <c r="C1201">
        <v>67.2</v>
      </c>
      <c r="D1201">
        <v>10</v>
      </c>
      <c r="E1201" s="1">
        <v>38296</v>
      </c>
      <c r="F1201" t="s">
        <v>0</v>
      </c>
      <c r="G1201">
        <v>2</v>
      </c>
      <c r="H1201">
        <v>2004</v>
      </c>
      <c r="I1201" t="s">
        <v>53</v>
      </c>
      <c r="J1201" t="s">
        <v>128</v>
      </c>
      <c r="K1201" t="s">
        <v>272</v>
      </c>
      <c r="L1201" t="s">
        <v>273</v>
      </c>
      <c r="M1201" t="s">
        <v>274</v>
      </c>
      <c r="N1201" t="s">
        <v>161</v>
      </c>
      <c r="O1201" t="s">
        <v>166</v>
      </c>
      <c r="P1201" t="s">
        <v>5</v>
      </c>
      <c r="Q1201" t="s">
        <v>6</v>
      </c>
      <c r="R1201" t="s">
        <v>363</v>
      </c>
      <c r="S1201" t="s">
        <v>7</v>
      </c>
      <c r="T1201" t="s">
        <v>329</v>
      </c>
      <c r="U1201">
        <f>Sales_Order[[#This Row],[Quantity ordered]]*Sales_Order[[#This Row],[Price each]]</f>
        <v>2956.8</v>
      </c>
    </row>
    <row r="1202" spans="1:21" x14ac:dyDescent="0.3">
      <c r="A1202">
        <v>10308</v>
      </c>
      <c r="B1202">
        <v>21</v>
      </c>
      <c r="C1202">
        <v>87.2</v>
      </c>
      <c r="D1202">
        <v>13</v>
      </c>
      <c r="E1202" s="1">
        <v>38275</v>
      </c>
      <c r="F1202" t="s">
        <v>0</v>
      </c>
      <c r="G1202">
        <v>4</v>
      </c>
      <c r="H1202">
        <v>2004</v>
      </c>
      <c r="I1202" t="s">
        <v>53</v>
      </c>
      <c r="J1202" t="s">
        <v>128</v>
      </c>
      <c r="K1202" t="s">
        <v>248</v>
      </c>
      <c r="L1202" t="s">
        <v>249</v>
      </c>
      <c r="M1202" t="s">
        <v>250</v>
      </c>
      <c r="N1202" t="s">
        <v>4</v>
      </c>
      <c r="O1202" t="s">
        <v>251</v>
      </c>
      <c r="P1202" t="s">
        <v>5</v>
      </c>
      <c r="Q1202" t="s">
        <v>6</v>
      </c>
      <c r="R1202" t="s">
        <v>356</v>
      </c>
      <c r="S1202" t="s">
        <v>7</v>
      </c>
      <c r="T1202" t="s">
        <v>324</v>
      </c>
      <c r="U1202">
        <f>Sales_Order[[#This Row],[Quantity ordered]]*Sales_Order[[#This Row],[Price each]]</f>
        <v>1831.2</v>
      </c>
    </row>
    <row r="1203" spans="1:21" x14ac:dyDescent="0.3">
      <c r="A1203">
        <v>10316</v>
      </c>
      <c r="B1203">
        <v>48</v>
      </c>
      <c r="C1203">
        <v>75.2</v>
      </c>
      <c r="D1203">
        <v>5</v>
      </c>
      <c r="E1203" s="1">
        <v>37997</v>
      </c>
      <c r="F1203" t="s">
        <v>0</v>
      </c>
      <c r="G1203">
        <v>4</v>
      </c>
      <c r="H1203">
        <v>2004</v>
      </c>
      <c r="I1203" t="s">
        <v>53</v>
      </c>
      <c r="J1203" t="s">
        <v>128</v>
      </c>
      <c r="K1203" t="s">
        <v>267</v>
      </c>
      <c r="L1203" t="s">
        <v>268</v>
      </c>
      <c r="M1203" t="s">
        <v>269</v>
      </c>
      <c r="N1203" t="s">
        <v>270</v>
      </c>
      <c r="O1203" t="s">
        <v>271</v>
      </c>
      <c r="P1203" t="s">
        <v>193</v>
      </c>
      <c r="Q1203" t="s">
        <v>157</v>
      </c>
      <c r="R1203" t="s">
        <v>362</v>
      </c>
      <c r="S1203" t="s">
        <v>8</v>
      </c>
      <c r="T1203" t="s">
        <v>334</v>
      </c>
      <c r="U1203">
        <f>Sales_Order[[#This Row],[Quantity ordered]]*Sales_Order[[#This Row],[Price each]]</f>
        <v>3609.6000000000004</v>
      </c>
    </row>
    <row r="1204" spans="1:21" x14ac:dyDescent="0.3">
      <c r="A1204">
        <v>10353</v>
      </c>
      <c r="B1204">
        <v>43</v>
      </c>
      <c r="C1204">
        <v>81.95</v>
      </c>
      <c r="D1204">
        <v>6</v>
      </c>
      <c r="E1204" s="1">
        <v>38089</v>
      </c>
      <c r="F1204" t="s">
        <v>0</v>
      </c>
      <c r="G1204">
        <v>4</v>
      </c>
      <c r="H1204">
        <v>2004</v>
      </c>
      <c r="I1204" t="s">
        <v>53</v>
      </c>
      <c r="J1204" t="s">
        <v>128</v>
      </c>
      <c r="K1204" t="s">
        <v>301</v>
      </c>
      <c r="L1204" t="s">
        <v>302</v>
      </c>
      <c r="M1204" t="s">
        <v>284</v>
      </c>
      <c r="N1204" t="s">
        <v>176</v>
      </c>
      <c r="O1204" t="s">
        <v>303</v>
      </c>
      <c r="P1204" t="s">
        <v>5</v>
      </c>
      <c r="Q1204" t="s">
        <v>6</v>
      </c>
      <c r="R1204" t="s">
        <v>372</v>
      </c>
      <c r="S1204" t="s">
        <v>8</v>
      </c>
      <c r="T1204" t="s">
        <v>336</v>
      </c>
      <c r="U1204">
        <f>Sales_Order[[#This Row],[Quantity ordered]]*Sales_Order[[#This Row],[Price each]]</f>
        <v>3523.85</v>
      </c>
    </row>
    <row r="1205" spans="1:21" x14ac:dyDescent="0.3">
      <c r="A1205">
        <v>10361</v>
      </c>
      <c r="B1205">
        <v>44</v>
      </c>
      <c r="C1205">
        <v>100</v>
      </c>
      <c r="D1205">
        <v>10</v>
      </c>
      <c r="E1205" s="1">
        <v>38338</v>
      </c>
      <c r="F1205" t="s">
        <v>0</v>
      </c>
      <c r="G1205">
        <v>4</v>
      </c>
      <c r="H1205">
        <v>2004</v>
      </c>
      <c r="I1205" t="s">
        <v>53</v>
      </c>
      <c r="J1205" t="s">
        <v>128</v>
      </c>
      <c r="K1205" t="s">
        <v>18</v>
      </c>
      <c r="L1205" t="s">
        <v>19</v>
      </c>
      <c r="M1205" t="s">
        <v>20</v>
      </c>
      <c r="N1205" t="s">
        <v>21</v>
      </c>
      <c r="O1205" t="s">
        <v>136</v>
      </c>
      <c r="P1205" t="s">
        <v>13</v>
      </c>
      <c r="Q1205" t="s">
        <v>14</v>
      </c>
      <c r="R1205" t="s">
        <v>335</v>
      </c>
      <c r="S1205" t="s">
        <v>8</v>
      </c>
      <c r="T1205" t="s">
        <v>336</v>
      </c>
      <c r="U1205">
        <f>Sales_Order[[#This Row],[Quantity ordered]]*Sales_Order[[#This Row],[Price each]]</f>
        <v>4400</v>
      </c>
    </row>
    <row r="1206" spans="1:21" x14ac:dyDescent="0.3">
      <c r="A1206">
        <v>10401</v>
      </c>
      <c r="B1206">
        <v>77</v>
      </c>
      <c r="C1206">
        <v>92</v>
      </c>
      <c r="D1206">
        <v>9</v>
      </c>
      <c r="E1206" s="1">
        <v>38415</v>
      </c>
      <c r="F1206" t="s">
        <v>275</v>
      </c>
      <c r="G1206">
        <v>2</v>
      </c>
      <c r="H1206">
        <v>2005</v>
      </c>
      <c r="I1206" t="s">
        <v>53</v>
      </c>
      <c r="J1206" t="s">
        <v>128</v>
      </c>
      <c r="K1206" t="s">
        <v>168</v>
      </c>
      <c r="L1206" t="s">
        <v>169</v>
      </c>
      <c r="M1206" t="s">
        <v>170</v>
      </c>
      <c r="N1206" t="s">
        <v>171</v>
      </c>
      <c r="O1206" t="s">
        <v>172</v>
      </c>
      <c r="P1206" t="s">
        <v>5</v>
      </c>
      <c r="Q1206" t="s">
        <v>6</v>
      </c>
      <c r="R1206" t="s">
        <v>328</v>
      </c>
      <c r="S1206" t="s">
        <v>17</v>
      </c>
      <c r="T1206" t="s">
        <v>327</v>
      </c>
      <c r="U1206">
        <f>Sales_Order[[#This Row],[Quantity ordered]]*Sales_Order[[#This Row],[Price each]]</f>
        <v>7084</v>
      </c>
    </row>
    <row r="1207" spans="1:21" x14ac:dyDescent="0.3">
      <c r="A1207">
        <v>10142</v>
      </c>
      <c r="B1207">
        <v>21</v>
      </c>
      <c r="C1207">
        <v>100</v>
      </c>
      <c r="D1207">
        <v>3</v>
      </c>
      <c r="E1207" s="1">
        <v>37841</v>
      </c>
      <c r="F1207" t="s">
        <v>0</v>
      </c>
      <c r="G1207">
        <v>3</v>
      </c>
      <c r="H1207">
        <v>2003</v>
      </c>
      <c r="I1207" t="s">
        <v>68</v>
      </c>
      <c r="J1207" t="s">
        <v>129</v>
      </c>
      <c r="K1207" t="s">
        <v>225</v>
      </c>
      <c r="L1207" t="s">
        <v>226</v>
      </c>
      <c r="M1207" t="s">
        <v>227</v>
      </c>
      <c r="N1207" t="s">
        <v>161</v>
      </c>
      <c r="O1207" t="s">
        <v>177</v>
      </c>
      <c r="P1207" t="s">
        <v>5</v>
      </c>
      <c r="Q1207" t="s">
        <v>6</v>
      </c>
      <c r="R1207" t="s">
        <v>349</v>
      </c>
      <c r="S1207" t="s">
        <v>7</v>
      </c>
      <c r="T1207" t="s">
        <v>322</v>
      </c>
      <c r="U1207">
        <f>Sales_Order[[#This Row],[Quantity ordered]]*Sales_Order[[#This Row],[Price each]]</f>
        <v>2100</v>
      </c>
    </row>
    <row r="1208" spans="1:21" x14ac:dyDescent="0.3">
      <c r="A1208">
        <v>10185</v>
      </c>
      <c r="B1208">
        <v>37</v>
      </c>
      <c r="C1208">
        <v>100</v>
      </c>
      <c r="D1208">
        <v>4</v>
      </c>
      <c r="E1208" s="1">
        <v>37939</v>
      </c>
      <c r="F1208" t="s">
        <v>0</v>
      </c>
      <c r="G1208">
        <v>4</v>
      </c>
      <c r="H1208">
        <v>2003</v>
      </c>
      <c r="I1208" t="s">
        <v>68</v>
      </c>
      <c r="J1208" t="s">
        <v>129</v>
      </c>
      <c r="K1208" t="s">
        <v>252</v>
      </c>
      <c r="L1208" t="s">
        <v>253</v>
      </c>
      <c r="M1208" t="s">
        <v>191</v>
      </c>
      <c r="N1208" t="s">
        <v>181</v>
      </c>
      <c r="O1208" t="s">
        <v>192</v>
      </c>
      <c r="P1208" t="s">
        <v>5</v>
      </c>
      <c r="Q1208" t="s">
        <v>6</v>
      </c>
      <c r="R1208" t="s">
        <v>357</v>
      </c>
      <c r="S1208" t="s">
        <v>8</v>
      </c>
      <c r="T1208" t="s">
        <v>334</v>
      </c>
      <c r="U1208">
        <f>Sales_Order[[#This Row],[Quantity ordered]]*Sales_Order[[#This Row],[Price each]]</f>
        <v>3700</v>
      </c>
    </row>
    <row r="1209" spans="1:21" x14ac:dyDescent="0.3">
      <c r="A1209">
        <v>10222</v>
      </c>
      <c r="B1209">
        <v>38</v>
      </c>
      <c r="C1209">
        <v>100</v>
      </c>
      <c r="D1209">
        <v>16</v>
      </c>
      <c r="E1209" s="1">
        <v>38036</v>
      </c>
      <c r="F1209" t="s">
        <v>0</v>
      </c>
      <c r="G1209">
        <v>1</v>
      </c>
      <c r="H1209">
        <v>2004</v>
      </c>
      <c r="I1209" t="s">
        <v>68</v>
      </c>
      <c r="J1209" t="s">
        <v>129</v>
      </c>
      <c r="K1209" t="s">
        <v>255</v>
      </c>
      <c r="L1209" t="s">
        <v>256</v>
      </c>
      <c r="M1209" t="s">
        <v>257</v>
      </c>
      <c r="N1209" t="s">
        <v>161</v>
      </c>
      <c r="O1209" t="s">
        <v>258</v>
      </c>
      <c r="P1209" t="s">
        <v>5</v>
      </c>
      <c r="Q1209" t="s">
        <v>6</v>
      </c>
      <c r="R1209" t="s">
        <v>358</v>
      </c>
      <c r="S1209" t="s">
        <v>8</v>
      </c>
      <c r="T1209" t="s">
        <v>320</v>
      </c>
      <c r="U1209">
        <f>Sales_Order[[#This Row],[Quantity ordered]]*Sales_Order[[#This Row],[Price each]]</f>
        <v>3800</v>
      </c>
    </row>
    <row r="1210" spans="1:21" x14ac:dyDescent="0.3">
      <c r="A1210">
        <v>10232</v>
      </c>
      <c r="B1210">
        <v>48</v>
      </c>
      <c r="C1210">
        <v>96.16</v>
      </c>
      <c r="D1210">
        <v>1</v>
      </c>
      <c r="E1210" s="1">
        <v>38066</v>
      </c>
      <c r="F1210" t="s">
        <v>0</v>
      </c>
      <c r="G1210">
        <v>1</v>
      </c>
      <c r="H1210">
        <v>2004</v>
      </c>
      <c r="I1210" t="s">
        <v>68</v>
      </c>
      <c r="J1210" t="s">
        <v>129</v>
      </c>
      <c r="K1210" t="s">
        <v>267</v>
      </c>
      <c r="L1210" t="s">
        <v>268</v>
      </c>
      <c r="M1210" t="s">
        <v>269</v>
      </c>
      <c r="N1210" t="s">
        <v>270</v>
      </c>
      <c r="O1210" t="s">
        <v>271</v>
      </c>
      <c r="P1210" t="s">
        <v>193</v>
      </c>
      <c r="Q1210" t="s">
        <v>157</v>
      </c>
      <c r="R1210" t="s">
        <v>362</v>
      </c>
      <c r="S1210" t="s">
        <v>8</v>
      </c>
      <c r="T1210" t="s">
        <v>338</v>
      </c>
      <c r="U1210">
        <f>Sales_Order[[#This Row],[Quantity ordered]]*Sales_Order[[#This Row],[Price each]]</f>
        <v>4615.68</v>
      </c>
    </row>
    <row r="1211" spans="1:21" x14ac:dyDescent="0.3">
      <c r="A1211">
        <v>10248</v>
      </c>
      <c r="B1211">
        <v>30</v>
      </c>
      <c r="C1211">
        <v>100</v>
      </c>
      <c r="D1211">
        <v>7</v>
      </c>
      <c r="E1211" s="1">
        <v>38173</v>
      </c>
      <c r="F1211" t="s">
        <v>254</v>
      </c>
      <c r="G1211">
        <v>2</v>
      </c>
      <c r="H1211">
        <v>2004</v>
      </c>
      <c r="I1211" t="s">
        <v>68</v>
      </c>
      <c r="J1211" t="s">
        <v>129</v>
      </c>
      <c r="K1211" t="s">
        <v>155</v>
      </c>
      <c r="L1211" t="s">
        <v>156</v>
      </c>
      <c r="M1211" t="s">
        <v>3</v>
      </c>
      <c r="N1211" t="s">
        <v>4</v>
      </c>
      <c r="O1211" t="s">
        <v>135</v>
      </c>
      <c r="P1211" t="s">
        <v>5</v>
      </c>
      <c r="Q1211" t="s">
        <v>6</v>
      </c>
      <c r="R1211" t="s">
        <v>319</v>
      </c>
      <c r="S1211" t="s">
        <v>8</v>
      </c>
      <c r="T1211" t="s">
        <v>329</v>
      </c>
      <c r="U1211">
        <f>Sales_Order[[#This Row],[Quantity ordered]]*Sales_Order[[#This Row],[Price each]]</f>
        <v>3000</v>
      </c>
    </row>
    <row r="1212" spans="1:21" x14ac:dyDescent="0.3">
      <c r="A1212">
        <v>10261</v>
      </c>
      <c r="B1212">
        <v>25</v>
      </c>
      <c r="C1212">
        <v>88.15</v>
      </c>
      <c r="D1212">
        <v>5</v>
      </c>
      <c r="E1212" s="1">
        <v>38155</v>
      </c>
      <c r="F1212" t="s">
        <v>0</v>
      </c>
      <c r="G1212">
        <v>2</v>
      </c>
      <c r="H1212">
        <v>2004</v>
      </c>
      <c r="I1212" t="s">
        <v>68</v>
      </c>
      <c r="J1212" t="s">
        <v>129</v>
      </c>
      <c r="K1212" t="s">
        <v>237</v>
      </c>
      <c r="L1212" t="s">
        <v>238</v>
      </c>
      <c r="M1212" t="s">
        <v>239</v>
      </c>
      <c r="N1212" t="s">
        <v>240</v>
      </c>
      <c r="O1212" t="s">
        <v>241</v>
      </c>
      <c r="P1212" t="s">
        <v>210</v>
      </c>
      <c r="Q1212" t="s">
        <v>6</v>
      </c>
      <c r="R1212" t="s">
        <v>353</v>
      </c>
      <c r="S1212" t="s">
        <v>7</v>
      </c>
      <c r="T1212" t="s">
        <v>331</v>
      </c>
      <c r="U1212">
        <f>Sales_Order[[#This Row],[Quantity ordered]]*Sales_Order[[#This Row],[Price each]]</f>
        <v>2203.75</v>
      </c>
    </row>
    <row r="1213" spans="1:21" x14ac:dyDescent="0.3">
      <c r="A1213">
        <v>10283</v>
      </c>
      <c r="B1213">
        <v>22</v>
      </c>
      <c r="C1213">
        <v>88.15</v>
      </c>
      <c r="D1213">
        <v>10</v>
      </c>
      <c r="E1213" s="1">
        <v>38219</v>
      </c>
      <c r="F1213" t="s">
        <v>0</v>
      </c>
      <c r="G1213">
        <v>3</v>
      </c>
      <c r="H1213">
        <v>2004</v>
      </c>
      <c r="I1213" t="s">
        <v>68</v>
      </c>
      <c r="J1213" t="s">
        <v>129</v>
      </c>
      <c r="K1213" t="s">
        <v>259</v>
      </c>
      <c r="L1213" t="s">
        <v>260</v>
      </c>
      <c r="M1213" t="s">
        <v>261</v>
      </c>
      <c r="N1213" t="s">
        <v>208</v>
      </c>
      <c r="O1213" t="s">
        <v>262</v>
      </c>
      <c r="P1213" t="s">
        <v>210</v>
      </c>
      <c r="Q1213" t="s">
        <v>6</v>
      </c>
      <c r="R1213" t="s">
        <v>359</v>
      </c>
      <c r="S1213" t="s">
        <v>7</v>
      </c>
      <c r="T1213" t="s">
        <v>322</v>
      </c>
      <c r="U1213">
        <f>Sales_Order[[#This Row],[Quantity ordered]]*Sales_Order[[#This Row],[Price each]]</f>
        <v>1939.3000000000002</v>
      </c>
    </row>
    <row r="1214" spans="1:21" x14ac:dyDescent="0.3">
      <c r="A1214">
        <v>10295</v>
      </c>
      <c r="B1214">
        <v>34</v>
      </c>
      <c r="C1214">
        <v>100</v>
      </c>
      <c r="D1214">
        <v>5</v>
      </c>
      <c r="E1214" s="1">
        <v>38269</v>
      </c>
      <c r="F1214" t="s">
        <v>0</v>
      </c>
      <c r="G1214">
        <v>3</v>
      </c>
      <c r="H1214">
        <v>2004</v>
      </c>
      <c r="I1214" t="s">
        <v>68</v>
      </c>
      <c r="J1214" t="s">
        <v>129</v>
      </c>
      <c r="K1214" t="s">
        <v>263</v>
      </c>
      <c r="L1214" t="s">
        <v>264</v>
      </c>
      <c r="M1214" t="s">
        <v>265</v>
      </c>
      <c r="N1214" t="s">
        <v>181</v>
      </c>
      <c r="O1214" t="s">
        <v>266</v>
      </c>
      <c r="P1214" t="s">
        <v>5</v>
      </c>
      <c r="Q1214" t="s">
        <v>6</v>
      </c>
      <c r="R1214" t="s">
        <v>360</v>
      </c>
      <c r="S1214" t="s">
        <v>8</v>
      </c>
      <c r="T1214" t="s">
        <v>361</v>
      </c>
      <c r="U1214">
        <f>Sales_Order[[#This Row],[Quantity ordered]]*Sales_Order[[#This Row],[Price each]]</f>
        <v>3400</v>
      </c>
    </row>
    <row r="1215" spans="1:21" x14ac:dyDescent="0.3">
      <c r="A1215">
        <v>10337</v>
      </c>
      <c r="B1215">
        <v>31</v>
      </c>
      <c r="C1215">
        <v>89.38</v>
      </c>
      <c r="D1215">
        <v>1</v>
      </c>
      <c r="E1215" s="1">
        <v>38312</v>
      </c>
      <c r="F1215" t="s">
        <v>0</v>
      </c>
      <c r="G1215">
        <v>4</v>
      </c>
      <c r="H1215">
        <v>2004</v>
      </c>
      <c r="I1215" t="s">
        <v>68</v>
      </c>
      <c r="J1215" t="s">
        <v>129</v>
      </c>
      <c r="K1215" t="s">
        <v>24</v>
      </c>
      <c r="L1215" t="s">
        <v>25</v>
      </c>
      <c r="M1215" t="s">
        <v>3</v>
      </c>
      <c r="N1215" t="s">
        <v>4</v>
      </c>
      <c r="O1215" t="s">
        <v>135</v>
      </c>
      <c r="P1215" t="s">
        <v>5</v>
      </c>
      <c r="Q1215" t="s">
        <v>6</v>
      </c>
      <c r="R1215" t="s">
        <v>340</v>
      </c>
      <c r="S1215" t="s">
        <v>7</v>
      </c>
      <c r="T1215" t="s">
        <v>334</v>
      </c>
      <c r="U1215">
        <f>Sales_Order[[#This Row],[Quantity ordered]]*Sales_Order[[#This Row],[Price each]]</f>
        <v>2770.7799999999997</v>
      </c>
    </row>
    <row r="1216" spans="1:21" x14ac:dyDescent="0.3">
      <c r="A1216">
        <v>10414</v>
      </c>
      <c r="B1216">
        <v>28</v>
      </c>
      <c r="C1216">
        <v>100</v>
      </c>
      <c r="D1216">
        <v>7</v>
      </c>
      <c r="E1216" s="1">
        <v>38508</v>
      </c>
      <c r="F1216" t="s">
        <v>275</v>
      </c>
      <c r="G1216">
        <v>2</v>
      </c>
      <c r="H1216">
        <v>2005</v>
      </c>
      <c r="I1216" t="s">
        <v>68</v>
      </c>
      <c r="J1216" t="s">
        <v>129</v>
      </c>
      <c r="K1216" t="s">
        <v>263</v>
      </c>
      <c r="L1216" t="s">
        <v>264</v>
      </c>
      <c r="M1216" t="s">
        <v>265</v>
      </c>
      <c r="N1216" t="s">
        <v>181</v>
      </c>
      <c r="O1216" t="s">
        <v>266</v>
      </c>
      <c r="P1216" t="s">
        <v>5</v>
      </c>
      <c r="Q1216" t="s">
        <v>6</v>
      </c>
      <c r="R1216" t="s">
        <v>360</v>
      </c>
      <c r="S1216" t="s">
        <v>8</v>
      </c>
      <c r="T1216" t="s">
        <v>329</v>
      </c>
      <c r="U1216">
        <f>Sales_Order[[#This Row],[Quantity ordered]]*Sales_Order[[#This Row],[Price each]]</f>
        <v>2800</v>
      </c>
    </row>
    <row r="1217" spans="1:21" x14ac:dyDescent="0.3">
      <c r="A1217">
        <v>10142</v>
      </c>
      <c r="B1217">
        <v>38</v>
      </c>
      <c r="C1217">
        <v>85.41</v>
      </c>
      <c r="D1217">
        <v>4</v>
      </c>
      <c r="E1217" s="1">
        <v>37841</v>
      </c>
      <c r="F1217" t="s">
        <v>0</v>
      </c>
      <c r="G1217">
        <v>3</v>
      </c>
      <c r="H1217">
        <v>2003</v>
      </c>
      <c r="I1217" t="s">
        <v>68</v>
      </c>
      <c r="J1217" t="s">
        <v>130</v>
      </c>
      <c r="K1217" t="s">
        <v>225</v>
      </c>
      <c r="L1217" t="s">
        <v>226</v>
      </c>
      <c r="M1217" t="s">
        <v>227</v>
      </c>
      <c r="N1217" t="s">
        <v>161</v>
      </c>
      <c r="O1217" t="s">
        <v>177</v>
      </c>
      <c r="P1217" t="s">
        <v>5</v>
      </c>
      <c r="Q1217" t="s">
        <v>6</v>
      </c>
      <c r="R1217" t="s">
        <v>349</v>
      </c>
      <c r="S1217" t="s">
        <v>8</v>
      </c>
      <c r="T1217" t="s">
        <v>322</v>
      </c>
      <c r="U1217">
        <f>Sales_Order[[#This Row],[Quantity ordered]]*Sales_Order[[#This Row],[Price each]]</f>
        <v>3245.58</v>
      </c>
    </row>
    <row r="1218" spans="1:21" x14ac:dyDescent="0.3">
      <c r="A1218">
        <v>10185</v>
      </c>
      <c r="B1218">
        <v>22</v>
      </c>
      <c r="C1218">
        <v>79.45</v>
      </c>
      <c r="D1218">
        <v>5</v>
      </c>
      <c r="E1218" s="1">
        <v>37939</v>
      </c>
      <c r="F1218" t="s">
        <v>0</v>
      </c>
      <c r="G1218">
        <v>4</v>
      </c>
      <c r="H1218">
        <v>2003</v>
      </c>
      <c r="I1218" t="s">
        <v>68</v>
      </c>
      <c r="J1218" t="s">
        <v>130</v>
      </c>
      <c r="K1218" t="s">
        <v>252</v>
      </c>
      <c r="L1218" t="s">
        <v>253</v>
      </c>
      <c r="M1218" t="s">
        <v>191</v>
      </c>
      <c r="N1218" t="s">
        <v>181</v>
      </c>
      <c r="O1218" t="s">
        <v>192</v>
      </c>
      <c r="P1218" t="s">
        <v>5</v>
      </c>
      <c r="Q1218" t="s">
        <v>6</v>
      </c>
      <c r="R1218" t="s">
        <v>357</v>
      </c>
      <c r="S1218" t="s">
        <v>7</v>
      </c>
      <c r="T1218" t="s">
        <v>334</v>
      </c>
      <c r="U1218">
        <f>Sales_Order[[#This Row],[Quantity ordered]]*Sales_Order[[#This Row],[Price each]]</f>
        <v>1747.9</v>
      </c>
    </row>
    <row r="1219" spans="1:21" x14ac:dyDescent="0.3">
      <c r="A1219">
        <v>10222</v>
      </c>
      <c r="B1219">
        <v>31</v>
      </c>
      <c r="C1219">
        <v>95.34</v>
      </c>
      <c r="D1219">
        <v>17</v>
      </c>
      <c r="E1219" s="1">
        <v>38036</v>
      </c>
      <c r="F1219" t="s">
        <v>0</v>
      </c>
      <c r="G1219">
        <v>1</v>
      </c>
      <c r="H1219">
        <v>2004</v>
      </c>
      <c r="I1219" t="s">
        <v>68</v>
      </c>
      <c r="J1219" t="s">
        <v>130</v>
      </c>
      <c r="K1219" t="s">
        <v>255</v>
      </c>
      <c r="L1219" t="s">
        <v>256</v>
      </c>
      <c r="M1219" t="s">
        <v>257</v>
      </c>
      <c r="N1219" t="s">
        <v>161</v>
      </c>
      <c r="O1219" t="s">
        <v>258</v>
      </c>
      <c r="P1219" t="s">
        <v>5</v>
      </c>
      <c r="Q1219" t="s">
        <v>6</v>
      </c>
      <c r="R1219" t="s">
        <v>358</v>
      </c>
      <c r="S1219" t="s">
        <v>7</v>
      </c>
      <c r="T1219" t="s">
        <v>320</v>
      </c>
      <c r="U1219">
        <f>Sales_Order[[#This Row],[Quantity ordered]]*Sales_Order[[#This Row],[Price each]]</f>
        <v>2955.54</v>
      </c>
    </row>
    <row r="1220" spans="1:21" x14ac:dyDescent="0.3">
      <c r="A1220">
        <v>10232</v>
      </c>
      <c r="B1220">
        <v>35</v>
      </c>
      <c r="C1220">
        <v>82.43</v>
      </c>
      <c r="D1220">
        <v>2</v>
      </c>
      <c r="E1220" s="1">
        <v>38066</v>
      </c>
      <c r="F1220" t="s">
        <v>0</v>
      </c>
      <c r="G1220">
        <v>1</v>
      </c>
      <c r="H1220">
        <v>2004</v>
      </c>
      <c r="I1220" t="s">
        <v>68</v>
      </c>
      <c r="J1220" t="s">
        <v>130</v>
      </c>
      <c r="K1220" t="s">
        <v>267</v>
      </c>
      <c r="L1220" t="s">
        <v>268</v>
      </c>
      <c r="M1220" t="s">
        <v>269</v>
      </c>
      <c r="N1220" t="s">
        <v>270</v>
      </c>
      <c r="O1220" t="s">
        <v>271</v>
      </c>
      <c r="P1220" t="s">
        <v>193</v>
      </c>
      <c r="Q1220" t="s">
        <v>157</v>
      </c>
      <c r="R1220" t="s">
        <v>362</v>
      </c>
      <c r="S1220" t="s">
        <v>7</v>
      </c>
      <c r="T1220" t="s">
        <v>338</v>
      </c>
      <c r="U1220">
        <f>Sales_Order[[#This Row],[Quantity ordered]]*Sales_Order[[#This Row],[Price each]]</f>
        <v>2885.05</v>
      </c>
    </row>
    <row r="1221" spans="1:21" x14ac:dyDescent="0.3">
      <c r="A1221">
        <v>10248</v>
      </c>
      <c r="B1221">
        <v>35</v>
      </c>
      <c r="C1221">
        <v>90.37</v>
      </c>
      <c r="D1221">
        <v>8</v>
      </c>
      <c r="E1221" s="1">
        <v>38173</v>
      </c>
      <c r="F1221" t="s">
        <v>254</v>
      </c>
      <c r="G1221">
        <v>2</v>
      </c>
      <c r="H1221">
        <v>2004</v>
      </c>
      <c r="I1221" t="s">
        <v>68</v>
      </c>
      <c r="J1221" t="s">
        <v>130</v>
      </c>
      <c r="K1221" t="s">
        <v>155</v>
      </c>
      <c r="L1221" t="s">
        <v>156</v>
      </c>
      <c r="M1221" t="s">
        <v>3</v>
      </c>
      <c r="N1221" t="s">
        <v>4</v>
      </c>
      <c r="O1221" t="s">
        <v>135</v>
      </c>
      <c r="P1221" t="s">
        <v>5</v>
      </c>
      <c r="Q1221" t="s">
        <v>6</v>
      </c>
      <c r="R1221" t="s">
        <v>319</v>
      </c>
      <c r="S1221" t="s">
        <v>8</v>
      </c>
      <c r="T1221" t="s">
        <v>329</v>
      </c>
      <c r="U1221">
        <f>Sales_Order[[#This Row],[Quantity ordered]]*Sales_Order[[#This Row],[Price each]]</f>
        <v>3162.9500000000003</v>
      </c>
    </row>
    <row r="1222" spans="1:21" x14ac:dyDescent="0.3">
      <c r="A1222">
        <v>10261</v>
      </c>
      <c r="B1222">
        <v>50</v>
      </c>
      <c r="C1222">
        <v>81.430000000000007</v>
      </c>
      <c r="D1222">
        <v>6</v>
      </c>
      <c r="E1222" s="1">
        <v>38155</v>
      </c>
      <c r="F1222" t="s">
        <v>0</v>
      </c>
      <c r="G1222">
        <v>2</v>
      </c>
      <c r="H1222">
        <v>2004</v>
      </c>
      <c r="I1222" t="s">
        <v>68</v>
      </c>
      <c r="J1222" t="s">
        <v>130</v>
      </c>
      <c r="K1222" t="s">
        <v>237</v>
      </c>
      <c r="L1222" t="s">
        <v>238</v>
      </c>
      <c r="M1222" t="s">
        <v>239</v>
      </c>
      <c r="N1222" t="s">
        <v>240</v>
      </c>
      <c r="O1222" t="s">
        <v>241</v>
      </c>
      <c r="P1222" t="s">
        <v>210</v>
      </c>
      <c r="Q1222" t="s">
        <v>6</v>
      </c>
      <c r="R1222" t="s">
        <v>353</v>
      </c>
      <c r="S1222" t="s">
        <v>8</v>
      </c>
      <c r="T1222" t="s">
        <v>331</v>
      </c>
      <c r="U1222">
        <f>Sales_Order[[#This Row],[Quantity ordered]]*Sales_Order[[#This Row],[Price each]]</f>
        <v>4071.5000000000005</v>
      </c>
    </row>
    <row r="1223" spans="1:21" x14ac:dyDescent="0.3">
      <c r="A1223">
        <v>10283</v>
      </c>
      <c r="B1223">
        <v>38</v>
      </c>
      <c r="C1223">
        <v>89.38</v>
      </c>
      <c r="D1223">
        <v>11</v>
      </c>
      <c r="E1223" s="1">
        <v>38219</v>
      </c>
      <c r="F1223" t="s">
        <v>0</v>
      </c>
      <c r="G1223">
        <v>3</v>
      </c>
      <c r="H1223">
        <v>2004</v>
      </c>
      <c r="I1223" t="s">
        <v>68</v>
      </c>
      <c r="J1223" t="s">
        <v>130</v>
      </c>
      <c r="K1223" t="s">
        <v>259</v>
      </c>
      <c r="L1223" t="s">
        <v>260</v>
      </c>
      <c r="M1223" t="s">
        <v>261</v>
      </c>
      <c r="N1223" t="s">
        <v>208</v>
      </c>
      <c r="O1223" t="s">
        <v>262</v>
      </c>
      <c r="P1223" t="s">
        <v>210</v>
      </c>
      <c r="Q1223" t="s">
        <v>6</v>
      </c>
      <c r="R1223" t="s">
        <v>359</v>
      </c>
      <c r="S1223" t="s">
        <v>8</v>
      </c>
      <c r="T1223" t="s">
        <v>322</v>
      </c>
      <c r="U1223">
        <f>Sales_Order[[#This Row],[Quantity ordered]]*Sales_Order[[#This Row],[Price each]]</f>
        <v>3396.4399999999996</v>
      </c>
    </row>
    <row r="1224" spans="1:21" x14ac:dyDescent="0.3">
      <c r="A1224">
        <v>10294</v>
      </c>
      <c r="B1224">
        <v>45</v>
      </c>
      <c r="C1224">
        <v>100</v>
      </c>
      <c r="D1224">
        <v>1</v>
      </c>
      <c r="E1224" s="1">
        <v>38269</v>
      </c>
      <c r="F1224" t="s">
        <v>0</v>
      </c>
      <c r="G1224">
        <v>3</v>
      </c>
      <c r="H1224">
        <v>2004</v>
      </c>
      <c r="I1224" t="s">
        <v>68</v>
      </c>
      <c r="J1224" t="s">
        <v>130</v>
      </c>
      <c r="K1224" t="s">
        <v>279</v>
      </c>
      <c r="L1224" t="s">
        <v>280</v>
      </c>
      <c r="M1224" t="s">
        <v>235</v>
      </c>
      <c r="N1224" t="s">
        <v>181</v>
      </c>
      <c r="O1224" t="s">
        <v>236</v>
      </c>
      <c r="P1224" t="s">
        <v>5</v>
      </c>
      <c r="Q1224" t="s">
        <v>6</v>
      </c>
      <c r="R1224" t="s">
        <v>365</v>
      </c>
      <c r="S1224" t="s">
        <v>8</v>
      </c>
      <c r="T1224" t="s">
        <v>361</v>
      </c>
      <c r="U1224">
        <f>Sales_Order[[#This Row],[Quantity ordered]]*Sales_Order[[#This Row],[Price each]]</f>
        <v>4500</v>
      </c>
    </row>
    <row r="1225" spans="1:21" x14ac:dyDescent="0.3">
      <c r="A1225">
        <v>10337</v>
      </c>
      <c r="B1225">
        <v>36</v>
      </c>
      <c r="C1225">
        <v>71.89</v>
      </c>
      <c r="D1225">
        <v>7</v>
      </c>
      <c r="E1225" s="1">
        <v>38312</v>
      </c>
      <c r="F1225" t="s">
        <v>0</v>
      </c>
      <c r="G1225">
        <v>4</v>
      </c>
      <c r="H1225">
        <v>2004</v>
      </c>
      <c r="I1225" t="s">
        <v>68</v>
      </c>
      <c r="J1225" t="s">
        <v>130</v>
      </c>
      <c r="K1225" t="s">
        <v>24</v>
      </c>
      <c r="L1225" t="s">
        <v>25</v>
      </c>
      <c r="M1225" t="s">
        <v>3</v>
      </c>
      <c r="N1225" t="s">
        <v>4</v>
      </c>
      <c r="O1225" t="s">
        <v>135</v>
      </c>
      <c r="P1225" t="s">
        <v>5</v>
      </c>
      <c r="Q1225" t="s">
        <v>6</v>
      </c>
      <c r="R1225" t="s">
        <v>340</v>
      </c>
      <c r="S1225" t="s">
        <v>7</v>
      </c>
      <c r="T1225" t="s">
        <v>334</v>
      </c>
      <c r="U1225">
        <f>Sales_Order[[#This Row],[Quantity ordered]]*Sales_Order[[#This Row],[Price each]]</f>
        <v>2588.04</v>
      </c>
    </row>
    <row r="1226" spans="1:21" x14ac:dyDescent="0.3">
      <c r="A1226">
        <v>10414</v>
      </c>
      <c r="B1226">
        <v>27</v>
      </c>
      <c r="C1226">
        <v>90.37</v>
      </c>
      <c r="D1226">
        <v>8</v>
      </c>
      <c r="E1226" s="1">
        <v>38508</v>
      </c>
      <c r="F1226" t="s">
        <v>275</v>
      </c>
      <c r="G1226">
        <v>2</v>
      </c>
      <c r="H1226">
        <v>2005</v>
      </c>
      <c r="I1226" t="s">
        <v>68</v>
      </c>
      <c r="J1226" t="s">
        <v>130</v>
      </c>
      <c r="K1226" t="s">
        <v>263</v>
      </c>
      <c r="L1226" t="s">
        <v>264</v>
      </c>
      <c r="M1226" t="s">
        <v>265</v>
      </c>
      <c r="N1226" t="s">
        <v>181</v>
      </c>
      <c r="O1226" t="s">
        <v>266</v>
      </c>
      <c r="P1226" t="s">
        <v>5</v>
      </c>
      <c r="Q1226" t="s">
        <v>6</v>
      </c>
      <c r="R1226" t="s">
        <v>360</v>
      </c>
      <c r="S1226" t="s">
        <v>7</v>
      </c>
      <c r="T1226" t="s">
        <v>329</v>
      </c>
      <c r="U1226">
        <f>Sales_Order[[#This Row],[Quantity ordered]]*Sales_Order[[#This Row],[Price each]]</f>
        <v>2439.9900000000002</v>
      </c>
    </row>
    <row r="1227" spans="1:21" x14ac:dyDescent="0.3">
      <c r="A1227">
        <v>10131</v>
      </c>
      <c r="B1227">
        <v>26</v>
      </c>
      <c r="C1227">
        <v>85.13</v>
      </c>
      <c r="D1227">
        <v>2</v>
      </c>
      <c r="E1227" s="1">
        <v>37788</v>
      </c>
      <c r="F1227" t="s">
        <v>0</v>
      </c>
      <c r="G1227">
        <v>2</v>
      </c>
      <c r="H1227">
        <v>2003</v>
      </c>
      <c r="I1227" t="s">
        <v>53</v>
      </c>
      <c r="J1227" t="s">
        <v>131</v>
      </c>
      <c r="K1227" t="s">
        <v>301</v>
      </c>
      <c r="L1227" t="s">
        <v>302</v>
      </c>
      <c r="M1227" t="s">
        <v>284</v>
      </c>
      <c r="N1227" t="s">
        <v>176</v>
      </c>
      <c r="O1227" t="s">
        <v>303</v>
      </c>
      <c r="P1227" t="s">
        <v>5</v>
      </c>
      <c r="Q1227" t="s">
        <v>6</v>
      </c>
      <c r="R1227" t="s">
        <v>372</v>
      </c>
      <c r="S1227" t="s">
        <v>7</v>
      </c>
      <c r="T1227" t="s">
        <v>331</v>
      </c>
      <c r="U1227">
        <f>Sales_Order[[#This Row],[Quantity ordered]]*Sales_Order[[#This Row],[Price each]]</f>
        <v>2213.38</v>
      </c>
    </row>
    <row r="1228" spans="1:21" x14ac:dyDescent="0.3">
      <c r="A1228">
        <v>10143</v>
      </c>
      <c r="B1228">
        <v>34</v>
      </c>
      <c r="C1228">
        <v>85.87</v>
      </c>
      <c r="D1228">
        <v>5</v>
      </c>
      <c r="E1228" s="1">
        <v>37902</v>
      </c>
      <c r="F1228" t="s">
        <v>0</v>
      </c>
      <c r="G1228">
        <v>3</v>
      </c>
      <c r="H1228">
        <v>2003</v>
      </c>
      <c r="I1228" t="s">
        <v>53</v>
      </c>
      <c r="J1228" t="s">
        <v>131</v>
      </c>
      <c r="K1228" t="s">
        <v>252</v>
      </c>
      <c r="L1228" t="s">
        <v>253</v>
      </c>
      <c r="M1228" t="s">
        <v>191</v>
      </c>
      <c r="N1228" t="s">
        <v>181</v>
      </c>
      <c r="O1228" t="s">
        <v>192</v>
      </c>
      <c r="P1228" t="s">
        <v>5</v>
      </c>
      <c r="Q1228" t="s">
        <v>6</v>
      </c>
      <c r="R1228" t="s">
        <v>357</v>
      </c>
      <c r="S1228" t="s">
        <v>7</v>
      </c>
      <c r="T1228" t="s">
        <v>322</v>
      </c>
      <c r="U1228">
        <f>Sales_Order[[#This Row],[Quantity ordered]]*Sales_Order[[#This Row],[Price each]]</f>
        <v>2919.58</v>
      </c>
    </row>
    <row r="1229" spans="1:21" x14ac:dyDescent="0.3">
      <c r="A1229">
        <v>10168</v>
      </c>
      <c r="B1229">
        <v>39</v>
      </c>
      <c r="C1229">
        <v>82.91</v>
      </c>
      <c r="D1229">
        <v>17</v>
      </c>
      <c r="E1229" s="1">
        <v>37922</v>
      </c>
      <c r="F1229" t="s">
        <v>0</v>
      </c>
      <c r="G1229">
        <v>4</v>
      </c>
      <c r="H1229">
        <v>2003</v>
      </c>
      <c r="I1229" t="s">
        <v>53</v>
      </c>
      <c r="J1229" t="s">
        <v>131</v>
      </c>
      <c r="K1229" t="s">
        <v>163</v>
      </c>
      <c r="L1229" t="s">
        <v>164</v>
      </c>
      <c r="M1229" t="s">
        <v>165</v>
      </c>
      <c r="N1229" t="s">
        <v>161</v>
      </c>
      <c r="O1229" t="s">
        <v>166</v>
      </c>
      <c r="P1229" t="s">
        <v>5</v>
      </c>
      <c r="Q1229" t="s">
        <v>6</v>
      </c>
      <c r="R1229" t="s">
        <v>323</v>
      </c>
      <c r="S1229" t="s">
        <v>8</v>
      </c>
      <c r="T1229" t="s">
        <v>324</v>
      </c>
      <c r="U1229">
        <f>Sales_Order[[#This Row],[Quantity ordered]]*Sales_Order[[#This Row],[Price each]]</f>
        <v>3233.49</v>
      </c>
    </row>
    <row r="1230" spans="1:21" x14ac:dyDescent="0.3">
      <c r="A1230">
        <v>10210</v>
      </c>
      <c r="B1230">
        <v>42</v>
      </c>
      <c r="C1230">
        <v>70.33</v>
      </c>
      <c r="D1230">
        <v>15</v>
      </c>
      <c r="E1230" s="1">
        <v>38322</v>
      </c>
      <c r="F1230" t="s">
        <v>0</v>
      </c>
      <c r="G1230">
        <v>1</v>
      </c>
      <c r="H1230">
        <v>2004</v>
      </c>
      <c r="I1230" t="s">
        <v>53</v>
      </c>
      <c r="J1230" t="s">
        <v>131</v>
      </c>
      <c r="K1230" t="s">
        <v>242</v>
      </c>
      <c r="L1230" t="s">
        <v>243</v>
      </c>
      <c r="M1230" t="s">
        <v>244</v>
      </c>
      <c r="N1230" t="s">
        <v>244</v>
      </c>
      <c r="O1230" t="s">
        <v>245</v>
      </c>
      <c r="P1230" t="s">
        <v>195</v>
      </c>
      <c r="Q1230" t="s">
        <v>195</v>
      </c>
      <c r="R1230" t="s">
        <v>354</v>
      </c>
      <c r="S1230" t="s">
        <v>7</v>
      </c>
      <c r="T1230" t="s">
        <v>345</v>
      </c>
      <c r="U1230">
        <f>Sales_Order[[#This Row],[Quantity ordered]]*Sales_Order[[#This Row],[Price each]]</f>
        <v>2953.86</v>
      </c>
    </row>
    <row r="1231" spans="1:21" x14ac:dyDescent="0.3">
      <c r="A1231">
        <v>10222</v>
      </c>
      <c r="B1231">
        <v>43</v>
      </c>
      <c r="C1231">
        <v>74.03</v>
      </c>
      <c r="D1231">
        <v>2</v>
      </c>
      <c r="E1231" s="1">
        <v>38036</v>
      </c>
      <c r="F1231" t="s">
        <v>0</v>
      </c>
      <c r="G1231">
        <v>1</v>
      </c>
      <c r="H1231">
        <v>2004</v>
      </c>
      <c r="I1231" t="s">
        <v>53</v>
      </c>
      <c r="J1231" t="s">
        <v>131</v>
      </c>
      <c r="K1231" t="s">
        <v>255</v>
      </c>
      <c r="L1231" t="s">
        <v>256</v>
      </c>
      <c r="M1231" t="s">
        <v>257</v>
      </c>
      <c r="N1231" t="s">
        <v>161</v>
      </c>
      <c r="O1231" t="s">
        <v>258</v>
      </c>
      <c r="P1231" t="s">
        <v>5</v>
      </c>
      <c r="Q1231" t="s">
        <v>6</v>
      </c>
      <c r="R1231" t="s">
        <v>358</v>
      </c>
      <c r="S1231" t="s">
        <v>8</v>
      </c>
      <c r="T1231" t="s">
        <v>320</v>
      </c>
      <c r="U1231">
        <f>Sales_Order[[#This Row],[Quantity ordered]]*Sales_Order[[#This Row],[Price each]]</f>
        <v>3183.29</v>
      </c>
    </row>
    <row r="1232" spans="1:21" x14ac:dyDescent="0.3">
      <c r="A1232">
        <v>10235</v>
      </c>
      <c r="B1232">
        <v>34</v>
      </c>
      <c r="C1232">
        <v>72.55</v>
      </c>
      <c r="D1232">
        <v>11</v>
      </c>
      <c r="E1232" s="1">
        <v>38021</v>
      </c>
      <c r="F1232" t="s">
        <v>0</v>
      </c>
      <c r="G1232">
        <v>2</v>
      </c>
      <c r="H1232">
        <v>2004</v>
      </c>
      <c r="I1232" t="s">
        <v>53</v>
      </c>
      <c r="J1232" t="s">
        <v>131</v>
      </c>
      <c r="K1232" t="s">
        <v>259</v>
      </c>
      <c r="L1232" t="s">
        <v>260</v>
      </c>
      <c r="M1232" t="s">
        <v>261</v>
      </c>
      <c r="N1232" t="s">
        <v>208</v>
      </c>
      <c r="O1232" t="s">
        <v>262</v>
      </c>
      <c r="P1232" t="s">
        <v>210</v>
      </c>
      <c r="Q1232" t="s">
        <v>6</v>
      </c>
      <c r="R1232" t="s">
        <v>359</v>
      </c>
      <c r="S1232" t="s">
        <v>7</v>
      </c>
      <c r="T1232" t="s">
        <v>327</v>
      </c>
      <c r="U1232">
        <f>Sales_Order[[#This Row],[Quantity ordered]]*Sales_Order[[#This Row],[Price each]]</f>
        <v>2466.6999999999998</v>
      </c>
    </row>
    <row r="1233" spans="1:21" x14ac:dyDescent="0.3">
      <c r="A1233">
        <v>10250</v>
      </c>
      <c r="B1233">
        <v>38</v>
      </c>
      <c r="C1233">
        <v>62.19</v>
      </c>
      <c r="D1233">
        <v>12</v>
      </c>
      <c r="E1233" s="1">
        <v>38296</v>
      </c>
      <c r="F1233" t="s">
        <v>0</v>
      </c>
      <c r="G1233">
        <v>2</v>
      </c>
      <c r="H1233">
        <v>2004</v>
      </c>
      <c r="I1233" t="s">
        <v>53</v>
      </c>
      <c r="J1233" t="s">
        <v>131</v>
      </c>
      <c r="K1233" t="s">
        <v>272</v>
      </c>
      <c r="L1233" t="s">
        <v>273</v>
      </c>
      <c r="M1233" t="s">
        <v>274</v>
      </c>
      <c r="N1233" t="s">
        <v>161</v>
      </c>
      <c r="O1233" t="s">
        <v>166</v>
      </c>
      <c r="P1233" t="s">
        <v>5</v>
      </c>
      <c r="Q1233" t="s">
        <v>6</v>
      </c>
      <c r="R1233" t="s">
        <v>363</v>
      </c>
      <c r="S1233" t="s">
        <v>7</v>
      </c>
      <c r="T1233" t="s">
        <v>329</v>
      </c>
      <c r="U1233">
        <f>Sales_Order[[#This Row],[Quantity ordered]]*Sales_Order[[#This Row],[Price each]]</f>
        <v>2363.2199999999998</v>
      </c>
    </row>
    <row r="1234" spans="1:21" x14ac:dyDescent="0.3">
      <c r="A1234">
        <v>10308</v>
      </c>
      <c r="B1234">
        <v>39</v>
      </c>
      <c r="C1234">
        <v>68.11</v>
      </c>
      <c r="D1234">
        <v>15</v>
      </c>
      <c r="E1234" s="1">
        <v>38275</v>
      </c>
      <c r="F1234" t="s">
        <v>0</v>
      </c>
      <c r="G1234">
        <v>4</v>
      </c>
      <c r="H1234">
        <v>2004</v>
      </c>
      <c r="I1234" t="s">
        <v>53</v>
      </c>
      <c r="J1234" t="s">
        <v>131</v>
      </c>
      <c r="K1234" t="s">
        <v>248</v>
      </c>
      <c r="L1234" t="s">
        <v>249</v>
      </c>
      <c r="M1234" t="s">
        <v>250</v>
      </c>
      <c r="N1234" t="s">
        <v>4</v>
      </c>
      <c r="O1234" t="s">
        <v>251</v>
      </c>
      <c r="P1234" t="s">
        <v>5</v>
      </c>
      <c r="Q1234" t="s">
        <v>6</v>
      </c>
      <c r="R1234" t="s">
        <v>356</v>
      </c>
      <c r="S1234" t="s">
        <v>7</v>
      </c>
      <c r="T1234" t="s">
        <v>324</v>
      </c>
      <c r="U1234">
        <f>Sales_Order[[#This Row],[Quantity ordered]]*Sales_Order[[#This Row],[Price each]]</f>
        <v>2656.29</v>
      </c>
    </row>
    <row r="1235" spans="1:21" x14ac:dyDescent="0.3">
      <c r="A1235">
        <v>10316</v>
      </c>
      <c r="B1235">
        <v>44</v>
      </c>
      <c r="C1235">
        <v>62.19</v>
      </c>
      <c r="D1235">
        <v>7</v>
      </c>
      <c r="E1235" s="1">
        <v>37997</v>
      </c>
      <c r="F1235" t="s">
        <v>0</v>
      </c>
      <c r="G1235">
        <v>4</v>
      </c>
      <c r="H1235">
        <v>2004</v>
      </c>
      <c r="I1235" t="s">
        <v>53</v>
      </c>
      <c r="J1235" t="s">
        <v>131</v>
      </c>
      <c r="K1235" t="s">
        <v>267</v>
      </c>
      <c r="L1235" t="s">
        <v>268</v>
      </c>
      <c r="M1235" t="s">
        <v>269</v>
      </c>
      <c r="N1235" t="s">
        <v>270</v>
      </c>
      <c r="O1235" t="s">
        <v>271</v>
      </c>
      <c r="P1235" t="s">
        <v>193</v>
      </c>
      <c r="Q1235" t="s">
        <v>157</v>
      </c>
      <c r="R1235" t="s">
        <v>362</v>
      </c>
      <c r="S1235" t="s">
        <v>7</v>
      </c>
      <c r="T1235" t="s">
        <v>334</v>
      </c>
      <c r="U1235">
        <f>Sales_Order[[#This Row],[Quantity ordered]]*Sales_Order[[#This Row],[Price each]]</f>
        <v>2736.3599999999997</v>
      </c>
    </row>
    <row r="1236" spans="1:21" x14ac:dyDescent="0.3">
      <c r="A1236">
        <v>10339</v>
      </c>
      <c r="B1236">
        <v>50</v>
      </c>
      <c r="C1236">
        <v>57.86</v>
      </c>
      <c r="D1236">
        <v>8</v>
      </c>
      <c r="E1236" s="1">
        <v>38314</v>
      </c>
      <c r="F1236" t="s">
        <v>0</v>
      </c>
      <c r="G1236">
        <v>4</v>
      </c>
      <c r="H1236">
        <v>2004</v>
      </c>
      <c r="I1236" t="s">
        <v>53</v>
      </c>
      <c r="J1236" t="s">
        <v>131</v>
      </c>
      <c r="K1236" t="s">
        <v>220</v>
      </c>
      <c r="L1236" t="s">
        <v>221</v>
      </c>
      <c r="M1236" t="s">
        <v>222</v>
      </c>
      <c r="N1236" t="s">
        <v>223</v>
      </c>
      <c r="O1236" t="s">
        <v>224</v>
      </c>
      <c r="P1236" t="s">
        <v>195</v>
      </c>
      <c r="Q1236" t="s">
        <v>195</v>
      </c>
      <c r="R1236" t="s">
        <v>348</v>
      </c>
      <c r="S1236" t="s">
        <v>7</v>
      </c>
      <c r="T1236" t="s">
        <v>334</v>
      </c>
      <c r="U1236">
        <f>Sales_Order[[#This Row],[Quantity ordered]]*Sales_Order[[#This Row],[Price each]]</f>
        <v>2893</v>
      </c>
    </row>
    <row r="1237" spans="1:21" x14ac:dyDescent="0.3">
      <c r="A1237">
        <v>10352</v>
      </c>
      <c r="B1237">
        <v>22</v>
      </c>
      <c r="C1237">
        <v>75.510000000000005</v>
      </c>
      <c r="D1237">
        <v>1</v>
      </c>
      <c r="E1237" s="1">
        <v>38058</v>
      </c>
      <c r="F1237" t="s">
        <v>0</v>
      </c>
      <c r="G1237">
        <v>4</v>
      </c>
      <c r="H1237">
        <v>2004</v>
      </c>
      <c r="I1237" t="s">
        <v>53</v>
      </c>
      <c r="J1237" t="s">
        <v>131</v>
      </c>
      <c r="K1237" t="s">
        <v>305</v>
      </c>
      <c r="L1237" t="s">
        <v>306</v>
      </c>
      <c r="M1237" t="s">
        <v>235</v>
      </c>
      <c r="N1237" t="s">
        <v>181</v>
      </c>
      <c r="O1237" t="s">
        <v>236</v>
      </c>
      <c r="P1237" t="s">
        <v>5</v>
      </c>
      <c r="Q1237" t="s">
        <v>6</v>
      </c>
      <c r="R1237" t="s">
        <v>373</v>
      </c>
      <c r="S1237" t="s">
        <v>7</v>
      </c>
      <c r="T1237" t="s">
        <v>336</v>
      </c>
      <c r="U1237">
        <f>Sales_Order[[#This Row],[Quantity ordered]]*Sales_Order[[#This Row],[Price each]]</f>
        <v>1661.22</v>
      </c>
    </row>
    <row r="1238" spans="1:21" x14ac:dyDescent="0.3">
      <c r="A1238">
        <v>10361</v>
      </c>
      <c r="B1238">
        <v>35</v>
      </c>
      <c r="C1238">
        <v>100</v>
      </c>
      <c r="D1238">
        <v>11</v>
      </c>
      <c r="E1238" s="1">
        <v>38338</v>
      </c>
      <c r="F1238" t="s">
        <v>0</v>
      </c>
      <c r="G1238">
        <v>4</v>
      </c>
      <c r="H1238">
        <v>2004</v>
      </c>
      <c r="I1238" t="s">
        <v>53</v>
      </c>
      <c r="J1238" t="s">
        <v>131</v>
      </c>
      <c r="K1238" t="s">
        <v>18</v>
      </c>
      <c r="L1238" t="s">
        <v>19</v>
      </c>
      <c r="M1238" t="s">
        <v>20</v>
      </c>
      <c r="N1238" t="s">
        <v>21</v>
      </c>
      <c r="O1238" t="s">
        <v>136</v>
      </c>
      <c r="P1238" t="s">
        <v>13</v>
      </c>
      <c r="Q1238" t="s">
        <v>14</v>
      </c>
      <c r="R1238" t="s">
        <v>335</v>
      </c>
      <c r="S1238" t="s">
        <v>8</v>
      </c>
      <c r="T1238" t="s">
        <v>336</v>
      </c>
      <c r="U1238">
        <f>Sales_Order[[#This Row],[Quantity ordered]]*Sales_Order[[#This Row],[Price each]]</f>
        <v>3500</v>
      </c>
    </row>
    <row r="1239" spans="1:21" x14ac:dyDescent="0.3">
      <c r="A1239">
        <v>10401</v>
      </c>
      <c r="B1239">
        <v>28</v>
      </c>
      <c r="C1239">
        <v>72.55</v>
      </c>
      <c r="D1239">
        <v>11</v>
      </c>
      <c r="E1239" s="1">
        <v>38415</v>
      </c>
      <c r="F1239" t="s">
        <v>275</v>
      </c>
      <c r="G1239">
        <v>2</v>
      </c>
      <c r="H1239">
        <v>2005</v>
      </c>
      <c r="I1239" t="s">
        <v>53</v>
      </c>
      <c r="J1239" t="s">
        <v>131</v>
      </c>
      <c r="K1239" t="s">
        <v>168</v>
      </c>
      <c r="L1239" t="s">
        <v>169</v>
      </c>
      <c r="M1239" t="s">
        <v>170</v>
      </c>
      <c r="N1239" t="s">
        <v>171</v>
      </c>
      <c r="O1239" t="s">
        <v>172</v>
      </c>
      <c r="P1239" t="s">
        <v>5</v>
      </c>
      <c r="Q1239" t="s">
        <v>6</v>
      </c>
      <c r="R1239" t="s">
        <v>328</v>
      </c>
      <c r="S1239" t="s">
        <v>7</v>
      </c>
      <c r="T1239" t="s">
        <v>327</v>
      </c>
      <c r="U1239">
        <f>Sales_Order[[#This Row],[Quantity ordered]]*Sales_Order[[#This Row],[Price each]]</f>
        <v>2031.3999999999999</v>
      </c>
    </row>
    <row r="1240" spans="1:21" x14ac:dyDescent="0.3">
      <c r="A1240">
        <v>10131</v>
      </c>
      <c r="B1240">
        <v>21</v>
      </c>
      <c r="C1240">
        <v>41.71</v>
      </c>
      <c r="D1240">
        <v>7</v>
      </c>
      <c r="E1240" s="1">
        <v>37788</v>
      </c>
      <c r="F1240" t="s">
        <v>0</v>
      </c>
      <c r="G1240">
        <v>2</v>
      </c>
      <c r="H1240">
        <v>2003</v>
      </c>
      <c r="I1240" t="s">
        <v>53</v>
      </c>
      <c r="J1240" t="s">
        <v>132</v>
      </c>
      <c r="K1240" t="s">
        <v>301</v>
      </c>
      <c r="L1240" t="s">
        <v>302</v>
      </c>
      <c r="M1240" t="s">
        <v>284</v>
      </c>
      <c r="N1240" t="s">
        <v>176</v>
      </c>
      <c r="O1240" t="s">
        <v>303</v>
      </c>
      <c r="P1240" t="s">
        <v>5</v>
      </c>
      <c r="Q1240" t="s">
        <v>6</v>
      </c>
      <c r="R1240" t="s">
        <v>372</v>
      </c>
      <c r="S1240" t="s">
        <v>7</v>
      </c>
      <c r="T1240" t="s">
        <v>331</v>
      </c>
      <c r="U1240">
        <f>Sales_Order[[#This Row],[Quantity ordered]]*Sales_Order[[#This Row],[Price each]]</f>
        <v>875.91</v>
      </c>
    </row>
    <row r="1241" spans="1:21" x14ac:dyDescent="0.3">
      <c r="A1241">
        <v>10143</v>
      </c>
      <c r="B1241">
        <v>37</v>
      </c>
      <c r="C1241">
        <v>50.65</v>
      </c>
      <c r="D1241">
        <v>10</v>
      </c>
      <c r="E1241" s="1">
        <v>37902</v>
      </c>
      <c r="F1241" t="s">
        <v>0</v>
      </c>
      <c r="G1241">
        <v>3</v>
      </c>
      <c r="H1241">
        <v>2003</v>
      </c>
      <c r="I1241" t="s">
        <v>53</v>
      </c>
      <c r="J1241" t="s">
        <v>132</v>
      </c>
      <c r="K1241" t="s">
        <v>252</v>
      </c>
      <c r="L1241" t="s">
        <v>253</v>
      </c>
      <c r="M1241" t="s">
        <v>191</v>
      </c>
      <c r="N1241" t="s">
        <v>181</v>
      </c>
      <c r="O1241" t="s">
        <v>192</v>
      </c>
      <c r="P1241" t="s">
        <v>5</v>
      </c>
      <c r="Q1241" t="s">
        <v>6</v>
      </c>
      <c r="R1241" t="s">
        <v>357</v>
      </c>
      <c r="S1241" t="s">
        <v>7</v>
      </c>
      <c r="T1241" t="s">
        <v>322</v>
      </c>
      <c r="U1241">
        <f>Sales_Order[[#This Row],[Quantity ordered]]*Sales_Order[[#This Row],[Price each]]</f>
        <v>1874.05</v>
      </c>
    </row>
    <row r="1242" spans="1:21" x14ac:dyDescent="0.3">
      <c r="A1242">
        <v>10222</v>
      </c>
      <c r="B1242">
        <v>31</v>
      </c>
      <c r="C1242">
        <v>45.69</v>
      </c>
      <c r="D1242">
        <v>7</v>
      </c>
      <c r="E1242" s="1">
        <v>38036</v>
      </c>
      <c r="F1242" t="s">
        <v>0</v>
      </c>
      <c r="G1242">
        <v>1</v>
      </c>
      <c r="H1242">
        <v>2004</v>
      </c>
      <c r="I1242" t="s">
        <v>53</v>
      </c>
      <c r="J1242" t="s">
        <v>132</v>
      </c>
      <c r="K1242" t="s">
        <v>255</v>
      </c>
      <c r="L1242" t="s">
        <v>256</v>
      </c>
      <c r="M1242" t="s">
        <v>257</v>
      </c>
      <c r="N1242" t="s">
        <v>161</v>
      </c>
      <c r="O1242" t="s">
        <v>258</v>
      </c>
      <c r="P1242" t="s">
        <v>5</v>
      </c>
      <c r="Q1242" t="s">
        <v>6</v>
      </c>
      <c r="R1242" t="s">
        <v>358</v>
      </c>
      <c r="S1242" t="s">
        <v>7</v>
      </c>
      <c r="T1242" t="s">
        <v>320</v>
      </c>
      <c r="U1242">
        <f>Sales_Order[[#This Row],[Quantity ordered]]*Sales_Order[[#This Row],[Price each]]</f>
        <v>1416.3899999999999</v>
      </c>
    </row>
    <row r="1243" spans="1:21" x14ac:dyDescent="0.3">
      <c r="A1243">
        <v>10249</v>
      </c>
      <c r="B1243">
        <v>32</v>
      </c>
      <c r="C1243">
        <v>57.61</v>
      </c>
      <c r="D1243">
        <v>3</v>
      </c>
      <c r="E1243" s="1">
        <v>38204</v>
      </c>
      <c r="F1243" t="s">
        <v>0</v>
      </c>
      <c r="G1243">
        <v>2</v>
      </c>
      <c r="H1243">
        <v>2004</v>
      </c>
      <c r="I1243" t="s">
        <v>53</v>
      </c>
      <c r="J1243" t="s">
        <v>132</v>
      </c>
      <c r="K1243" t="s">
        <v>214</v>
      </c>
      <c r="L1243" t="s">
        <v>215</v>
      </c>
      <c r="M1243" t="s">
        <v>180</v>
      </c>
      <c r="N1243" t="s">
        <v>181</v>
      </c>
      <c r="O1243" t="s">
        <v>182</v>
      </c>
      <c r="P1243" t="s">
        <v>5</v>
      </c>
      <c r="Q1243" t="s">
        <v>6</v>
      </c>
      <c r="R1243" t="s">
        <v>346</v>
      </c>
      <c r="S1243" t="s">
        <v>7</v>
      </c>
      <c r="T1243" t="s">
        <v>329</v>
      </c>
      <c r="U1243">
        <f>Sales_Order[[#This Row],[Quantity ordered]]*Sales_Order[[#This Row],[Price each]]</f>
        <v>1843.52</v>
      </c>
    </row>
    <row r="1244" spans="1:21" x14ac:dyDescent="0.3">
      <c r="A1244">
        <v>10274</v>
      </c>
      <c r="B1244">
        <v>32</v>
      </c>
      <c r="C1244">
        <v>58.6</v>
      </c>
      <c r="D1244">
        <v>4</v>
      </c>
      <c r="E1244" s="1">
        <v>38189</v>
      </c>
      <c r="F1244" t="s">
        <v>0</v>
      </c>
      <c r="G1244">
        <v>3</v>
      </c>
      <c r="H1244">
        <v>2004</v>
      </c>
      <c r="I1244" t="s">
        <v>53</v>
      </c>
      <c r="J1244" t="s">
        <v>132</v>
      </c>
      <c r="K1244" t="s">
        <v>233</v>
      </c>
      <c r="L1244" t="s">
        <v>234</v>
      </c>
      <c r="M1244" t="s">
        <v>235</v>
      </c>
      <c r="N1244" t="s">
        <v>181</v>
      </c>
      <c r="O1244" t="s">
        <v>236</v>
      </c>
      <c r="P1244" t="s">
        <v>5</v>
      </c>
      <c r="Q1244" t="s">
        <v>6</v>
      </c>
      <c r="R1244" t="s">
        <v>351</v>
      </c>
      <c r="S1244" t="s">
        <v>7</v>
      </c>
      <c r="T1244" t="s">
        <v>339</v>
      </c>
      <c r="U1244">
        <f>Sales_Order[[#This Row],[Quantity ordered]]*Sales_Order[[#This Row],[Price each]]</f>
        <v>1875.2</v>
      </c>
    </row>
    <row r="1245" spans="1:21" x14ac:dyDescent="0.3">
      <c r="A1245">
        <v>10283</v>
      </c>
      <c r="B1245">
        <v>43</v>
      </c>
      <c r="C1245">
        <v>57.61</v>
      </c>
      <c r="D1245">
        <v>1</v>
      </c>
      <c r="E1245" s="1">
        <v>38219</v>
      </c>
      <c r="F1245" t="s">
        <v>0</v>
      </c>
      <c r="G1245">
        <v>3</v>
      </c>
      <c r="H1245">
        <v>2004</v>
      </c>
      <c r="I1245" t="s">
        <v>53</v>
      </c>
      <c r="J1245" t="s">
        <v>132</v>
      </c>
      <c r="K1245" t="s">
        <v>259</v>
      </c>
      <c r="L1245" t="s">
        <v>260</v>
      </c>
      <c r="M1245" t="s">
        <v>261</v>
      </c>
      <c r="N1245" t="s">
        <v>208</v>
      </c>
      <c r="O1245" t="s">
        <v>262</v>
      </c>
      <c r="P1245" t="s">
        <v>210</v>
      </c>
      <c r="Q1245" t="s">
        <v>6</v>
      </c>
      <c r="R1245" t="s">
        <v>359</v>
      </c>
      <c r="S1245" t="s">
        <v>7</v>
      </c>
      <c r="T1245" t="s">
        <v>322</v>
      </c>
      <c r="U1245">
        <f>Sales_Order[[#This Row],[Quantity ordered]]*Sales_Order[[#This Row],[Price each]]</f>
        <v>2477.23</v>
      </c>
    </row>
    <row r="1246" spans="1:21" x14ac:dyDescent="0.3">
      <c r="A1246">
        <v>10307</v>
      </c>
      <c r="B1246">
        <v>34</v>
      </c>
      <c r="C1246">
        <v>53.63</v>
      </c>
      <c r="D1246">
        <v>4</v>
      </c>
      <c r="E1246" s="1">
        <v>38274</v>
      </c>
      <c r="F1246" t="s">
        <v>0</v>
      </c>
      <c r="G1246">
        <v>4</v>
      </c>
      <c r="H1246">
        <v>2004</v>
      </c>
      <c r="I1246" t="s">
        <v>53</v>
      </c>
      <c r="J1246" t="s">
        <v>132</v>
      </c>
      <c r="K1246" t="s">
        <v>201</v>
      </c>
      <c r="L1246" t="s">
        <v>202</v>
      </c>
      <c r="M1246" t="s">
        <v>203</v>
      </c>
      <c r="N1246" t="s">
        <v>186</v>
      </c>
      <c r="O1246" t="s">
        <v>204</v>
      </c>
      <c r="P1246" t="s">
        <v>5</v>
      </c>
      <c r="Q1246" t="s">
        <v>6</v>
      </c>
      <c r="R1246" t="s">
        <v>342</v>
      </c>
      <c r="S1246" t="s">
        <v>7</v>
      </c>
      <c r="T1246" t="s">
        <v>324</v>
      </c>
      <c r="U1246">
        <f>Sales_Order[[#This Row],[Quantity ordered]]*Sales_Order[[#This Row],[Price each]]</f>
        <v>1823.42</v>
      </c>
    </row>
    <row r="1247" spans="1:21" x14ac:dyDescent="0.3">
      <c r="A1247">
        <v>10316</v>
      </c>
      <c r="B1247">
        <v>34</v>
      </c>
      <c r="C1247">
        <v>43.7</v>
      </c>
      <c r="D1247">
        <v>12</v>
      </c>
      <c r="E1247" s="1">
        <v>37997</v>
      </c>
      <c r="F1247" t="s">
        <v>0</v>
      </c>
      <c r="G1247">
        <v>4</v>
      </c>
      <c r="H1247">
        <v>2004</v>
      </c>
      <c r="I1247" t="s">
        <v>53</v>
      </c>
      <c r="J1247" t="s">
        <v>132</v>
      </c>
      <c r="K1247" t="s">
        <v>267</v>
      </c>
      <c r="L1247" t="s">
        <v>268</v>
      </c>
      <c r="M1247" t="s">
        <v>269</v>
      </c>
      <c r="N1247" t="s">
        <v>270</v>
      </c>
      <c r="O1247" t="s">
        <v>271</v>
      </c>
      <c r="P1247" t="s">
        <v>193</v>
      </c>
      <c r="Q1247" t="s">
        <v>157</v>
      </c>
      <c r="R1247" t="s">
        <v>362</v>
      </c>
      <c r="S1247" t="s">
        <v>7</v>
      </c>
      <c r="T1247" t="s">
        <v>334</v>
      </c>
      <c r="U1247">
        <f>Sales_Order[[#This Row],[Quantity ordered]]*Sales_Order[[#This Row],[Price each]]</f>
        <v>1485.8000000000002</v>
      </c>
    </row>
    <row r="1248" spans="1:21" x14ac:dyDescent="0.3">
      <c r="A1248">
        <v>10329</v>
      </c>
      <c r="B1248">
        <v>44</v>
      </c>
      <c r="C1248">
        <v>86.13</v>
      </c>
      <c r="D1248">
        <v>8</v>
      </c>
      <c r="E1248" s="1">
        <v>38306</v>
      </c>
      <c r="F1248" t="s">
        <v>0</v>
      </c>
      <c r="G1248">
        <v>4</v>
      </c>
      <c r="H1248">
        <v>2004</v>
      </c>
      <c r="I1248" t="s">
        <v>53</v>
      </c>
      <c r="J1248" t="s">
        <v>132</v>
      </c>
      <c r="K1248" t="s">
        <v>155</v>
      </c>
      <c r="L1248" t="s">
        <v>156</v>
      </c>
      <c r="M1248" t="s">
        <v>3</v>
      </c>
      <c r="N1248" t="s">
        <v>4</v>
      </c>
      <c r="O1248" t="s">
        <v>135</v>
      </c>
      <c r="P1248" t="s">
        <v>5</v>
      </c>
      <c r="Q1248" t="s">
        <v>6</v>
      </c>
      <c r="R1248" t="s">
        <v>319</v>
      </c>
      <c r="S1248" t="s">
        <v>8</v>
      </c>
      <c r="T1248" t="s">
        <v>334</v>
      </c>
      <c r="U1248">
        <f>Sales_Order[[#This Row],[Quantity ordered]]*Sales_Order[[#This Row],[Price each]]</f>
        <v>3789.72</v>
      </c>
    </row>
    <row r="1249" spans="1:21" x14ac:dyDescent="0.3">
      <c r="A1249">
        <v>10339</v>
      </c>
      <c r="B1249">
        <v>27</v>
      </c>
      <c r="C1249">
        <v>76.31</v>
      </c>
      <c r="D1249">
        <v>6</v>
      </c>
      <c r="E1249" s="1">
        <v>38314</v>
      </c>
      <c r="F1249" t="s">
        <v>0</v>
      </c>
      <c r="G1249">
        <v>4</v>
      </c>
      <c r="H1249">
        <v>2004</v>
      </c>
      <c r="I1249" t="s">
        <v>53</v>
      </c>
      <c r="J1249" t="s">
        <v>132</v>
      </c>
      <c r="K1249" t="s">
        <v>220</v>
      </c>
      <c r="L1249" t="s">
        <v>221</v>
      </c>
      <c r="M1249" t="s">
        <v>222</v>
      </c>
      <c r="N1249" t="s">
        <v>223</v>
      </c>
      <c r="O1249" t="s">
        <v>224</v>
      </c>
      <c r="P1249" t="s">
        <v>195</v>
      </c>
      <c r="Q1249" t="s">
        <v>195</v>
      </c>
      <c r="R1249" t="s">
        <v>348</v>
      </c>
      <c r="S1249" t="s">
        <v>7</v>
      </c>
      <c r="T1249" t="s">
        <v>334</v>
      </c>
      <c r="U1249">
        <f>Sales_Order[[#This Row],[Quantity ordered]]*Sales_Order[[#This Row],[Price each]]</f>
        <v>2060.37</v>
      </c>
    </row>
    <row r="1250" spans="1:21" x14ac:dyDescent="0.3">
      <c r="A1250">
        <v>10352</v>
      </c>
      <c r="B1250">
        <v>49</v>
      </c>
      <c r="C1250">
        <v>52.64</v>
      </c>
      <c r="D1250">
        <v>4</v>
      </c>
      <c r="E1250" s="1">
        <v>38058</v>
      </c>
      <c r="F1250" t="s">
        <v>0</v>
      </c>
      <c r="G1250">
        <v>4</v>
      </c>
      <c r="H1250">
        <v>2004</v>
      </c>
      <c r="I1250" t="s">
        <v>53</v>
      </c>
      <c r="J1250" t="s">
        <v>132</v>
      </c>
      <c r="K1250" t="s">
        <v>305</v>
      </c>
      <c r="L1250" t="s">
        <v>306</v>
      </c>
      <c r="M1250" t="s">
        <v>235</v>
      </c>
      <c r="N1250" t="s">
        <v>181</v>
      </c>
      <c r="O1250" t="s">
        <v>236</v>
      </c>
      <c r="P1250" t="s">
        <v>5</v>
      </c>
      <c r="Q1250" t="s">
        <v>6</v>
      </c>
      <c r="R1250" t="s">
        <v>373</v>
      </c>
      <c r="S1250" t="s">
        <v>7</v>
      </c>
      <c r="T1250" t="s">
        <v>336</v>
      </c>
      <c r="U1250">
        <f>Sales_Order[[#This Row],[Quantity ordered]]*Sales_Order[[#This Row],[Price each]]</f>
        <v>2579.36</v>
      </c>
    </row>
    <row r="1251" spans="1:21" x14ac:dyDescent="0.3">
      <c r="A1251">
        <v>10361</v>
      </c>
      <c r="B1251">
        <v>23</v>
      </c>
      <c r="C1251">
        <v>95.2</v>
      </c>
      <c r="D1251">
        <v>12</v>
      </c>
      <c r="E1251" s="1">
        <v>38338</v>
      </c>
      <c r="F1251" t="s">
        <v>0</v>
      </c>
      <c r="G1251">
        <v>4</v>
      </c>
      <c r="H1251">
        <v>2004</v>
      </c>
      <c r="I1251" t="s">
        <v>53</v>
      </c>
      <c r="J1251" t="s">
        <v>132</v>
      </c>
      <c r="K1251" t="s">
        <v>18</v>
      </c>
      <c r="L1251" t="s">
        <v>19</v>
      </c>
      <c r="M1251" t="s">
        <v>20</v>
      </c>
      <c r="N1251" t="s">
        <v>21</v>
      </c>
      <c r="O1251" t="s">
        <v>136</v>
      </c>
      <c r="P1251" t="s">
        <v>13</v>
      </c>
      <c r="Q1251" t="s">
        <v>14</v>
      </c>
      <c r="R1251" t="s">
        <v>335</v>
      </c>
      <c r="S1251" t="s">
        <v>7</v>
      </c>
      <c r="T1251" t="s">
        <v>336</v>
      </c>
      <c r="U1251">
        <f>Sales_Order[[#This Row],[Quantity ordered]]*Sales_Order[[#This Row],[Price each]]</f>
        <v>2189.6</v>
      </c>
    </row>
    <row r="1252" spans="1:21" x14ac:dyDescent="0.3">
      <c r="A1252">
        <v>10400</v>
      </c>
      <c r="B1252">
        <v>20</v>
      </c>
      <c r="C1252">
        <v>56.12</v>
      </c>
      <c r="D1252">
        <v>4</v>
      </c>
      <c r="E1252" s="1">
        <v>38356</v>
      </c>
      <c r="F1252" t="s">
        <v>0</v>
      </c>
      <c r="G1252">
        <v>2</v>
      </c>
      <c r="H1252">
        <v>2005</v>
      </c>
      <c r="I1252" t="s">
        <v>53</v>
      </c>
      <c r="J1252" t="s">
        <v>132</v>
      </c>
      <c r="K1252" t="s">
        <v>272</v>
      </c>
      <c r="L1252" t="s">
        <v>273</v>
      </c>
      <c r="M1252" t="s">
        <v>274</v>
      </c>
      <c r="N1252" t="s">
        <v>161</v>
      </c>
      <c r="O1252" t="s">
        <v>166</v>
      </c>
      <c r="P1252" t="s">
        <v>5</v>
      </c>
      <c r="Q1252" t="s">
        <v>6</v>
      </c>
      <c r="R1252" t="s">
        <v>363</v>
      </c>
      <c r="S1252" t="s">
        <v>7</v>
      </c>
      <c r="T1252" t="s">
        <v>327</v>
      </c>
      <c r="U1252">
        <f>Sales_Order[[#This Row],[Quantity ordered]]*Sales_Order[[#This Row],[Price each]]</f>
        <v>1122.3999999999999</v>
      </c>
    </row>
    <row r="1253" spans="1:21" x14ac:dyDescent="0.3">
      <c r="A1253">
        <v>10415</v>
      </c>
      <c r="B1253">
        <v>42</v>
      </c>
      <c r="C1253">
        <v>57.61</v>
      </c>
      <c r="D1253">
        <v>3</v>
      </c>
      <c r="E1253" s="1">
        <v>38600</v>
      </c>
      <c r="F1253" t="s">
        <v>194</v>
      </c>
      <c r="G1253">
        <v>2</v>
      </c>
      <c r="H1253">
        <v>2005</v>
      </c>
      <c r="I1253" t="s">
        <v>53</v>
      </c>
      <c r="J1253" t="s">
        <v>132</v>
      </c>
      <c r="K1253" t="s">
        <v>296</v>
      </c>
      <c r="L1253" t="s">
        <v>297</v>
      </c>
      <c r="M1253" t="s">
        <v>298</v>
      </c>
      <c r="N1253" t="s">
        <v>12</v>
      </c>
      <c r="O1253" t="s">
        <v>299</v>
      </c>
      <c r="P1253" t="s">
        <v>13</v>
      </c>
      <c r="Q1253" t="s">
        <v>14</v>
      </c>
      <c r="R1253" t="s">
        <v>371</v>
      </c>
      <c r="S1253" t="s">
        <v>7</v>
      </c>
      <c r="T1253" t="s">
        <v>329</v>
      </c>
      <c r="U1253">
        <f>Sales_Order[[#This Row],[Quantity ordered]]*Sales_Order[[#This Row],[Price each]]</f>
        <v>2419.62</v>
      </c>
    </row>
    <row r="1254" spans="1:21" x14ac:dyDescent="0.3">
      <c r="A1254">
        <v>10142</v>
      </c>
      <c r="B1254">
        <v>39</v>
      </c>
      <c r="C1254">
        <v>44.23</v>
      </c>
      <c r="D1254">
        <v>5</v>
      </c>
      <c r="E1254" s="1">
        <v>37841</v>
      </c>
      <c r="F1254" t="s">
        <v>0</v>
      </c>
      <c r="G1254">
        <v>3</v>
      </c>
      <c r="H1254">
        <v>2003</v>
      </c>
      <c r="I1254" t="s">
        <v>68</v>
      </c>
      <c r="J1254" t="s">
        <v>133</v>
      </c>
      <c r="K1254" t="s">
        <v>225</v>
      </c>
      <c r="L1254" t="s">
        <v>226</v>
      </c>
      <c r="M1254" t="s">
        <v>227</v>
      </c>
      <c r="N1254" t="s">
        <v>161</v>
      </c>
      <c r="O1254" t="s">
        <v>177</v>
      </c>
      <c r="P1254" t="s">
        <v>5</v>
      </c>
      <c r="Q1254" t="s">
        <v>6</v>
      </c>
      <c r="R1254" t="s">
        <v>349</v>
      </c>
      <c r="S1254" t="s">
        <v>7</v>
      </c>
      <c r="T1254" t="s">
        <v>322</v>
      </c>
      <c r="U1254">
        <f>Sales_Order[[#This Row],[Quantity ordered]]*Sales_Order[[#This Row],[Price each]]</f>
        <v>1724.9699999999998</v>
      </c>
    </row>
    <row r="1255" spans="1:21" x14ac:dyDescent="0.3">
      <c r="A1255">
        <v>10185</v>
      </c>
      <c r="B1255">
        <v>28</v>
      </c>
      <c r="C1255">
        <v>64.430000000000007</v>
      </c>
      <c r="D1255">
        <v>6</v>
      </c>
      <c r="E1255" s="1">
        <v>37939</v>
      </c>
      <c r="F1255" t="s">
        <v>0</v>
      </c>
      <c r="G1255">
        <v>4</v>
      </c>
      <c r="H1255">
        <v>2003</v>
      </c>
      <c r="I1255" t="s">
        <v>68</v>
      </c>
      <c r="J1255" t="s">
        <v>133</v>
      </c>
      <c r="K1255" t="s">
        <v>252</v>
      </c>
      <c r="L1255" t="s">
        <v>253</v>
      </c>
      <c r="M1255" t="s">
        <v>191</v>
      </c>
      <c r="N1255" t="s">
        <v>181</v>
      </c>
      <c r="O1255" t="s">
        <v>192</v>
      </c>
      <c r="P1255" t="s">
        <v>5</v>
      </c>
      <c r="Q1255" t="s">
        <v>6</v>
      </c>
      <c r="R1255" t="s">
        <v>357</v>
      </c>
      <c r="S1255" t="s">
        <v>7</v>
      </c>
      <c r="T1255" t="s">
        <v>334</v>
      </c>
      <c r="U1255">
        <f>Sales_Order[[#This Row],[Quantity ordered]]*Sales_Order[[#This Row],[Price each]]</f>
        <v>1804.0400000000002</v>
      </c>
    </row>
    <row r="1256" spans="1:21" x14ac:dyDescent="0.3">
      <c r="A1256">
        <v>10222</v>
      </c>
      <c r="B1256">
        <v>36</v>
      </c>
      <c r="C1256">
        <v>63.34</v>
      </c>
      <c r="D1256">
        <v>18</v>
      </c>
      <c r="E1256" s="1">
        <v>38036</v>
      </c>
      <c r="F1256" t="s">
        <v>0</v>
      </c>
      <c r="G1256">
        <v>1</v>
      </c>
      <c r="H1256">
        <v>2004</v>
      </c>
      <c r="I1256" t="s">
        <v>68</v>
      </c>
      <c r="J1256" t="s">
        <v>133</v>
      </c>
      <c r="K1256" t="s">
        <v>255</v>
      </c>
      <c r="L1256" t="s">
        <v>256</v>
      </c>
      <c r="M1256" t="s">
        <v>257</v>
      </c>
      <c r="N1256" t="s">
        <v>161</v>
      </c>
      <c r="O1256" t="s">
        <v>258</v>
      </c>
      <c r="P1256" t="s">
        <v>5</v>
      </c>
      <c r="Q1256" t="s">
        <v>6</v>
      </c>
      <c r="R1256" t="s">
        <v>358</v>
      </c>
      <c r="S1256" t="s">
        <v>7</v>
      </c>
      <c r="T1256" t="s">
        <v>320</v>
      </c>
      <c r="U1256">
        <f>Sales_Order[[#This Row],[Quantity ordered]]*Sales_Order[[#This Row],[Price each]]</f>
        <v>2280.2400000000002</v>
      </c>
    </row>
    <row r="1257" spans="1:21" x14ac:dyDescent="0.3">
      <c r="A1257">
        <v>10232</v>
      </c>
      <c r="B1257">
        <v>24</v>
      </c>
      <c r="C1257">
        <v>49.69</v>
      </c>
      <c r="D1257">
        <v>3</v>
      </c>
      <c r="E1257" s="1">
        <v>38066</v>
      </c>
      <c r="F1257" t="s">
        <v>0</v>
      </c>
      <c r="G1257">
        <v>1</v>
      </c>
      <c r="H1257">
        <v>2004</v>
      </c>
      <c r="I1257" t="s">
        <v>68</v>
      </c>
      <c r="J1257" t="s">
        <v>133</v>
      </c>
      <c r="K1257" t="s">
        <v>267</v>
      </c>
      <c r="L1257" t="s">
        <v>268</v>
      </c>
      <c r="M1257" t="s">
        <v>269</v>
      </c>
      <c r="N1257" t="s">
        <v>270</v>
      </c>
      <c r="O1257" t="s">
        <v>271</v>
      </c>
      <c r="P1257" t="s">
        <v>193</v>
      </c>
      <c r="Q1257" t="s">
        <v>157</v>
      </c>
      <c r="R1257" t="s">
        <v>362</v>
      </c>
      <c r="S1257" t="s">
        <v>7</v>
      </c>
      <c r="T1257" t="s">
        <v>338</v>
      </c>
      <c r="U1257">
        <f>Sales_Order[[#This Row],[Quantity ordered]]*Sales_Order[[#This Row],[Price each]]</f>
        <v>1192.56</v>
      </c>
    </row>
    <row r="1258" spans="1:21" x14ac:dyDescent="0.3">
      <c r="A1258">
        <v>10248</v>
      </c>
      <c r="B1258">
        <v>23</v>
      </c>
      <c r="C1258">
        <v>65.52</v>
      </c>
      <c r="D1258">
        <v>9</v>
      </c>
      <c r="E1258" s="1">
        <v>38173</v>
      </c>
      <c r="F1258" t="s">
        <v>254</v>
      </c>
      <c r="G1258">
        <v>2</v>
      </c>
      <c r="H1258">
        <v>2004</v>
      </c>
      <c r="I1258" t="s">
        <v>68</v>
      </c>
      <c r="J1258" t="s">
        <v>133</v>
      </c>
      <c r="K1258" t="s">
        <v>155</v>
      </c>
      <c r="L1258" t="s">
        <v>156</v>
      </c>
      <c r="M1258" t="s">
        <v>3</v>
      </c>
      <c r="N1258" t="s">
        <v>4</v>
      </c>
      <c r="O1258" t="s">
        <v>135</v>
      </c>
      <c r="P1258" t="s">
        <v>5</v>
      </c>
      <c r="Q1258" t="s">
        <v>6</v>
      </c>
      <c r="R1258" t="s">
        <v>319</v>
      </c>
      <c r="S1258" t="s">
        <v>7</v>
      </c>
      <c r="T1258" t="s">
        <v>329</v>
      </c>
      <c r="U1258">
        <f>Sales_Order[[#This Row],[Quantity ordered]]*Sales_Order[[#This Row],[Price each]]</f>
        <v>1506.9599999999998</v>
      </c>
    </row>
    <row r="1259" spans="1:21" x14ac:dyDescent="0.3">
      <c r="A1259">
        <v>10261</v>
      </c>
      <c r="B1259">
        <v>29</v>
      </c>
      <c r="C1259">
        <v>50.78</v>
      </c>
      <c r="D1259">
        <v>7</v>
      </c>
      <c r="E1259" s="1">
        <v>38155</v>
      </c>
      <c r="F1259" t="s">
        <v>0</v>
      </c>
      <c r="G1259">
        <v>2</v>
      </c>
      <c r="H1259">
        <v>2004</v>
      </c>
      <c r="I1259" t="s">
        <v>68</v>
      </c>
      <c r="J1259" t="s">
        <v>133</v>
      </c>
      <c r="K1259" t="s">
        <v>237</v>
      </c>
      <c r="L1259" t="s">
        <v>238</v>
      </c>
      <c r="M1259" t="s">
        <v>239</v>
      </c>
      <c r="N1259" t="s">
        <v>240</v>
      </c>
      <c r="O1259" t="s">
        <v>241</v>
      </c>
      <c r="P1259" t="s">
        <v>210</v>
      </c>
      <c r="Q1259" t="s">
        <v>6</v>
      </c>
      <c r="R1259" t="s">
        <v>353</v>
      </c>
      <c r="S1259" t="s">
        <v>7</v>
      </c>
      <c r="T1259" t="s">
        <v>331</v>
      </c>
      <c r="U1259">
        <f>Sales_Order[[#This Row],[Quantity ordered]]*Sales_Order[[#This Row],[Price each]]</f>
        <v>1472.6200000000001</v>
      </c>
    </row>
    <row r="1260" spans="1:21" x14ac:dyDescent="0.3">
      <c r="A1260">
        <v>10283</v>
      </c>
      <c r="B1260">
        <v>33</v>
      </c>
      <c r="C1260">
        <v>51.32</v>
      </c>
      <c r="D1260">
        <v>12</v>
      </c>
      <c r="E1260" s="1">
        <v>38219</v>
      </c>
      <c r="F1260" t="s">
        <v>0</v>
      </c>
      <c r="G1260">
        <v>3</v>
      </c>
      <c r="H1260">
        <v>2004</v>
      </c>
      <c r="I1260" t="s">
        <v>68</v>
      </c>
      <c r="J1260" t="s">
        <v>133</v>
      </c>
      <c r="K1260" t="s">
        <v>259</v>
      </c>
      <c r="L1260" t="s">
        <v>260</v>
      </c>
      <c r="M1260" t="s">
        <v>261</v>
      </c>
      <c r="N1260" t="s">
        <v>208</v>
      </c>
      <c r="O1260" t="s">
        <v>262</v>
      </c>
      <c r="P1260" t="s">
        <v>210</v>
      </c>
      <c r="Q1260" t="s">
        <v>6</v>
      </c>
      <c r="R1260" t="s">
        <v>359</v>
      </c>
      <c r="S1260" t="s">
        <v>7</v>
      </c>
      <c r="T1260" t="s">
        <v>322</v>
      </c>
      <c r="U1260">
        <f>Sales_Order[[#This Row],[Quantity ordered]]*Sales_Order[[#This Row],[Price each]]</f>
        <v>1693.56</v>
      </c>
    </row>
    <row r="1261" spans="1:21" x14ac:dyDescent="0.3">
      <c r="A1261">
        <v>10337</v>
      </c>
      <c r="B1261">
        <v>42</v>
      </c>
      <c r="C1261">
        <v>97.16</v>
      </c>
      <c r="D1261">
        <v>5</v>
      </c>
      <c r="E1261" s="1">
        <v>38312</v>
      </c>
      <c r="F1261" t="s">
        <v>0</v>
      </c>
      <c r="G1261">
        <v>4</v>
      </c>
      <c r="H1261">
        <v>2004</v>
      </c>
      <c r="I1261" t="s">
        <v>68</v>
      </c>
      <c r="J1261" t="s">
        <v>133</v>
      </c>
      <c r="K1261" t="s">
        <v>24</v>
      </c>
      <c r="L1261" t="s">
        <v>25</v>
      </c>
      <c r="M1261" t="s">
        <v>3</v>
      </c>
      <c r="N1261" t="s">
        <v>4</v>
      </c>
      <c r="O1261" t="s">
        <v>135</v>
      </c>
      <c r="P1261" t="s">
        <v>5</v>
      </c>
      <c r="Q1261" t="s">
        <v>6</v>
      </c>
      <c r="R1261" t="s">
        <v>340</v>
      </c>
      <c r="S1261" t="s">
        <v>8</v>
      </c>
      <c r="T1261" t="s">
        <v>334</v>
      </c>
      <c r="U1261">
        <f>Sales_Order[[#This Row],[Quantity ordered]]*Sales_Order[[#This Row],[Price each]]</f>
        <v>4080.72</v>
      </c>
    </row>
    <row r="1262" spans="1:21" x14ac:dyDescent="0.3">
      <c r="A1262">
        <v>10414</v>
      </c>
      <c r="B1262">
        <v>47</v>
      </c>
      <c r="C1262">
        <v>65.52</v>
      </c>
      <c r="D1262">
        <v>9</v>
      </c>
      <c r="E1262" s="1">
        <v>38508</v>
      </c>
      <c r="F1262" t="s">
        <v>275</v>
      </c>
      <c r="G1262">
        <v>2</v>
      </c>
      <c r="H1262">
        <v>2005</v>
      </c>
      <c r="I1262" t="s">
        <v>68</v>
      </c>
      <c r="J1262" t="s">
        <v>133</v>
      </c>
      <c r="K1262" t="s">
        <v>263</v>
      </c>
      <c r="L1262" t="s">
        <v>264</v>
      </c>
      <c r="M1262" t="s">
        <v>265</v>
      </c>
      <c r="N1262" t="s">
        <v>181</v>
      </c>
      <c r="O1262" t="s">
        <v>266</v>
      </c>
      <c r="P1262" t="s">
        <v>5</v>
      </c>
      <c r="Q1262" t="s">
        <v>6</v>
      </c>
      <c r="R1262" t="s">
        <v>360</v>
      </c>
      <c r="S1262" t="s">
        <v>8</v>
      </c>
      <c r="T1262" t="s">
        <v>329</v>
      </c>
      <c r="U1262">
        <f>Sales_Order[[#This Row],[Quantity ordered]]*Sales_Order[[#This Row],[Price each]]</f>
        <v>3079.4399999999996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B977A8F0-A1CA-4D33-AC2F-D234FDF94909}">
  <ds:schemaRefs/>
</ds:datastoreItem>
</file>

<file path=customXml/itemProps2.xml><?xml version="1.0" encoding="utf-8"?>
<ds:datastoreItem xmlns:ds="http://schemas.openxmlformats.org/officeDocument/2006/customXml" ds:itemID="{4E9FED0F-A087-480E-AB89-F8671AD2550B}">
  <ds:schemaRefs/>
</ds:datastoreItem>
</file>

<file path=customXml/itemProps3.xml><?xml version="1.0" encoding="utf-8"?>
<ds:datastoreItem xmlns:ds="http://schemas.openxmlformats.org/officeDocument/2006/customXml" ds:itemID="{06DBC98F-EB86-48E0-84DD-61249F4C73FB}">
  <ds:schemaRefs/>
</ds:datastoreItem>
</file>

<file path=customXml/itemProps4.xml><?xml version="1.0" encoding="utf-8"?>
<ds:datastoreItem xmlns:ds="http://schemas.openxmlformats.org/officeDocument/2006/customXml" ds:itemID="{36CBCF29-681F-4BCE-81CD-84F294FE294E}">
  <ds:schemaRefs/>
</ds:datastoreItem>
</file>

<file path=customXml/itemProps5.xml><?xml version="1.0" encoding="utf-8"?>
<ds:datastoreItem xmlns:ds="http://schemas.openxmlformats.org/officeDocument/2006/customXml" ds:itemID="{05ACC32C-3E31-473F-9100-61CA53A114F1}">
  <ds:schemaRefs>
    <ds:schemaRef ds:uri="http://schemas.microsoft.com/DataMashup"/>
  </ds:schemaRefs>
</ds:datastoreItem>
</file>

<file path=customXml/itemProps6.xml><?xml version="1.0" encoding="utf-8"?>
<ds:datastoreItem xmlns:ds="http://schemas.openxmlformats.org/officeDocument/2006/customXml" ds:itemID="{005507DD-54C6-4D09-B9D2-EC42BF9759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vt:lpstr>
      <vt:lpstr>Dashboard</vt:lpstr>
      <vt:lpstr>Sales_Order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Santhiya P</dc:creator>
  <cp:lastModifiedBy>Santhiya P</cp:lastModifiedBy>
  <dcterms:created xsi:type="dcterms:W3CDTF">2026-09-09T05:28:40Z</dcterms:created>
  <dcterms:modified xsi:type="dcterms:W3CDTF">2026-09-22T13:58:17Z</dcterms:modified>
</cp:coreProperties>
</file>